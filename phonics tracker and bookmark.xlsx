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SLE6lHQ1dhqvbi2K6_2ncK9ggfsEotVS\Work\Mingjheng\MingJheng English program\Daily phonics\Phonics sequence\Liams phonics resources\"/>
    </mc:Choice>
  </mc:AlternateContent>
  <xr:revisionPtr revIDLastSave="0" documentId="13_ncr:1_{4951A71A-2ABC-40AF-9C28-67D2BF7569DA}" xr6:coauthVersionLast="47" xr6:coauthVersionMax="47" xr10:uidLastSave="{00000000-0000-0000-0000-000000000000}"/>
  <bookViews>
    <workbookView xWindow="-21720" yWindow="-1080" windowWidth="21840" windowHeight="13020" firstSheet="1" activeTab="4" xr2:uid="{00000000-000D-0000-FFFF-FFFF00000000}"/>
  </bookViews>
  <sheets>
    <sheet name="Table 1" sheetId="1" state="hidden" r:id="rId1"/>
    <sheet name="double sided" sheetId="4" r:id="rId2"/>
    <sheet name="tracker" sheetId="2" r:id="rId3"/>
    <sheet name="bookmarks" sheetId="3" r:id="rId4"/>
    <sheet name="Flashcar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2" l="1"/>
  <c r="AA3" i="2"/>
  <c r="Q9" i="1"/>
  <c r="S11" i="1"/>
  <c r="Q11" i="1"/>
  <c r="R8" i="1"/>
  <c r="O13" i="1"/>
  <c r="O6" i="1"/>
  <c r="S7" i="1"/>
  <c r="P7" i="1"/>
  <c r="Q8" i="1"/>
  <c r="R3" i="1"/>
  <c r="R12" i="1"/>
  <c r="Q13" i="1"/>
  <c r="Q4" i="1"/>
  <c r="S12" i="1"/>
  <c r="R14" i="1"/>
  <c r="P8" i="1"/>
  <c r="Q2" i="1"/>
  <c r="Q14" i="1"/>
  <c r="P12" i="1"/>
  <c r="S1" i="1"/>
  <c r="R9" i="1"/>
  <c r="R7" i="1"/>
  <c r="O4" i="1"/>
  <c r="R4" i="1"/>
  <c r="S4" i="1"/>
  <c r="S14" i="1"/>
  <c r="R5" i="1"/>
  <c r="S13" i="1"/>
  <c r="R11" i="1"/>
  <c r="O8" i="1"/>
  <c r="P3" i="1"/>
  <c r="Q10" i="1"/>
  <c r="O9" i="1"/>
  <c r="S8" i="1"/>
  <c r="S3" i="1"/>
  <c r="S10" i="1"/>
  <c r="O14" i="1"/>
  <c r="Q12" i="1"/>
  <c r="Q3" i="1"/>
  <c r="R2" i="1"/>
  <c r="P13" i="1"/>
  <c r="R10" i="1"/>
  <c r="O2" i="1"/>
  <c r="S9" i="1"/>
  <c r="P2" i="1"/>
  <c r="Q1" i="1"/>
  <c r="O7" i="1"/>
  <c r="Q6" i="1"/>
  <c r="Q7" i="1"/>
  <c r="R1" i="1"/>
  <c r="P4" i="1"/>
  <c r="P1" i="1"/>
  <c r="P9" i="1"/>
  <c r="P5" i="1"/>
  <c r="R13" i="1"/>
  <c r="O12" i="1"/>
  <c r="S5" i="1"/>
  <c r="Q5" i="1"/>
  <c r="O5" i="1"/>
  <c r="O10" i="1"/>
  <c r="P11" i="1"/>
  <c r="O11" i="1"/>
  <c r="R6" i="1"/>
  <c r="P10" i="1"/>
  <c r="P6" i="1"/>
  <c r="O1" i="1"/>
  <c r="P14" i="1"/>
  <c r="S2" i="1"/>
  <c r="S6" i="1"/>
  <c r="O3" i="1"/>
  <c r="U4" i="1" l="1"/>
  <c r="H4" i="1" s="1"/>
  <c r="X3" i="1"/>
  <c r="K3" i="1" s="1"/>
  <c r="W5" i="1"/>
  <c r="J5" i="1" s="1"/>
  <c r="U5" i="1"/>
  <c r="H5" i="1" s="1"/>
  <c r="X4" i="1"/>
  <c r="K4" i="1" s="1"/>
  <c r="V4" i="1"/>
  <c r="I4" i="1" s="1"/>
  <c r="V3" i="1"/>
  <c r="I3" i="1" s="1"/>
  <c r="V2" i="1"/>
  <c r="I2" i="1" s="1"/>
  <c r="U1" i="1"/>
  <c r="H1" i="1" s="1"/>
  <c r="V1" i="1"/>
  <c r="I1" i="1" s="1"/>
  <c r="T2" i="1"/>
  <c r="G2" i="1" s="1"/>
  <c r="U3" i="1"/>
  <c r="H3" i="1" s="1"/>
  <c r="X2" i="1"/>
  <c r="K2" i="1" s="1"/>
  <c r="T4" i="1"/>
  <c r="G4" i="1" s="1"/>
  <c r="T5" i="1"/>
  <c r="G5" i="1" s="1"/>
  <c r="U2" i="1"/>
  <c r="H2" i="1" s="1"/>
  <c r="W1" i="1"/>
  <c r="J1" i="1" s="1"/>
  <c r="X5" i="1"/>
  <c r="K5" i="1" s="1"/>
  <c r="W3" i="1"/>
  <c r="J3" i="1" s="1"/>
  <c r="T1" i="1"/>
  <c r="G1" i="1" s="1"/>
  <c r="T3" i="1"/>
  <c r="G3" i="1" s="1"/>
  <c r="X1" i="1"/>
  <c r="K1" i="1" s="1"/>
  <c r="V5" i="1"/>
  <c r="I5" i="1" s="1"/>
  <c r="W4" i="1"/>
  <c r="J4" i="1" s="1"/>
  <c r="W2" i="1"/>
  <c r="J2" i="1" s="1"/>
</calcChain>
</file>

<file path=xl/sharedStrings.xml><?xml version="1.0" encoding="utf-8"?>
<sst xmlns="http://schemas.openxmlformats.org/spreadsheetml/2006/main" count="1447" uniqueCount="99">
  <si>
    <t>a A</t>
  </si>
  <si>
    <t>p P</t>
  </si>
  <si>
    <t>t T</t>
  </si>
  <si>
    <t>i I</t>
  </si>
  <si>
    <t>n N</t>
  </si>
  <si>
    <t>s S</t>
  </si>
  <si>
    <t>m M</t>
  </si>
  <si>
    <t>o O</t>
  </si>
  <si>
    <t>b B</t>
  </si>
  <si>
    <t>c C</t>
  </si>
  <si>
    <t>g G</t>
  </si>
  <si>
    <t>h H</t>
  </si>
  <si>
    <t>k K</t>
  </si>
  <si>
    <t>d D</t>
  </si>
  <si>
    <t>e E</t>
  </si>
  <si>
    <t>l L</t>
  </si>
  <si>
    <t>r R</t>
  </si>
  <si>
    <t>f F</t>
  </si>
  <si>
    <t>v V</t>
  </si>
  <si>
    <t>u U</t>
  </si>
  <si>
    <t>j J</t>
  </si>
  <si>
    <t>w W</t>
  </si>
  <si>
    <t>z Z</t>
  </si>
  <si>
    <t>x X</t>
  </si>
  <si>
    <t>y Y</t>
  </si>
  <si>
    <t>qu Qu</t>
  </si>
  <si>
    <t>sh</t>
  </si>
  <si>
    <t>th</t>
  </si>
  <si>
    <t>ch</t>
  </si>
  <si>
    <t>ay</t>
  </si>
  <si>
    <t>wh</t>
  </si>
  <si>
    <t>ck</t>
  </si>
  <si>
    <t>ee</t>
  </si>
  <si>
    <t>er</t>
  </si>
  <si>
    <t>ar</t>
  </si>
  <si>
    <t>ed</t>
  </si>
  <si>
    <t>oo</t>
  </si>
  <si>
    <t>igh</t>
  </si>
  <si>
    <t>ai</t>
  </si>
  <si>
    <t>oy</t>
  </si>
  <si>
    <t>oi</t>
  </si>
  <si>
    <t>oa</t>
  </si>
  <si>
    <t>ea</t>
  </si>
  <si>
    <t>ir</t>
  </si>
  <si>
    <t>ow</t>
  </si>
  <si>
    <t>oe</t>
  </si>
  <si>
    <t>au</t>
  </si>
  <si>
    <t>aw</t>
  </si>
  <si>
    <t>or</t>
  </si>
  <si>
    <t>wr</t>
  </si>
  <si>
    <t>ph</t>
  </si>
  <si>
    <t>kn</t>
  </si>
  <si>
    <t>ie</t>
  </si>
  <si>
    <t>ei</t>
  </si>
  <si>
    <t>eigh</t>
  </si>
  <si>
    <t>ou</t>
  </si>
  <si>
    <t>ew</t>
  </si>
  <si>
    <t>ur</t>
  </si>
  <si>
    <t>ear</t>
  </si>
  <si>
    <t>wor</t>
  </si>
  <si>
    <t>dge</t>
  </si>
  <si>
    <t>ui</t>
  </si>
  <si>
    <t>ng</t>
  </si>
  <si>
    <t>ey</t>
  </si>
  <si>
    <t>ough</t>
  </si>
  <si>
    <t>gu</t>
  </si>
  <si>
    <t>ti</t>
  </si>
  <si>
    <t>si</t>
  </si>
  <si>
    <t>ci</t>
  </si>
  <si>
    <t>gn</t>
  </si>
  <si>
    <t>Aa</t>
  </si>
  <si>
    <t>Pp</t>
  </si>
  <si>
    <t>Tt</t>
  </si>
  <si>
    <t>Ii</t>
  </si>
  <si>
    <t>Nn</t>
  </si>
  <si>
    <t>Ss</t>
  </si>
  <si>
    <t>Mm</t>
  </si>
  <si>
    <t>Oo</t>
  </si>
  <si>
    <t>Bb</t>
  </si>
  <si>
    <t>Cc</t>
  </si>
  <si>
    <t>Gg</t>
  </si>
  <si>
    <t>Hh</t>
  </si>
  <si>
    <t>Kk</t>
  </si>
  <si>
    <t>Dd</t>
  </si>
  <si>
    <t>Ee</t>
  </si>
  <si>
    <t>Ll</t>
  </si>
  <si>
    <t>Rr</t>
  </si>
  <si>
    <t>Ff</t>
  </si>
  <si>
    <t>Vv</t>
  </si>
  <si>
    <t>Uu</t>
  </si>
  <si>
    <t>Jj</t>
  </si>
  <si>
    <t>Ww</t>
  </si>
  <si>
    <t>Zz</t>
  </si>
  <si>
    <t>Xx</t>
  </si>
  <si>
    <t>Yy</t>
  </si>
  <si>
    <t>Qu qu</t>
  </si>
  <si>
    <t>Q qu</t>
  </si>
  <si>
    <t>double sided</t>
  </si>
  <si>
    <t>1 sided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</si>
</sst>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Times New Roman"/>
      <charset val="204"/>
    </font>
    <font>
      <b/>
      <sz val="12"/>
      <name val="EngTRESS A"/>
    </font>
    <font>
      <i/>
      <sz val="12"/>
      <color rgb="FF000000"/>
      <name val="EngTRESS A"/>
    </font>
    <font>
      <sz val="10"/>
      <color rgb="FF000000"/>
      <name val="EngTRESS A"/>
    </font>
    <font>
      <b/>
      <sz val="12"/>
      <color rgb="FF202124"/>
      <name val="Arial"/>
      <family val="2"/>
    </font>
    <font>
      <sz val="22"/>
      <color rgb="FF000000"/>
      <name val="EngTRESS A"/>
    </font>
    <font>
      <sz val="22"/>
      <name val="EngTRESS A"/>
    </font>
    <font>
      <sz val="36"/>
      <name val="點點字+線 (New Taipei City Dotted L"/>
    </font>
    <font>
      <sz val="36"/>
      <name val="Times New Roman"/>
      <family val="1"/>
    </font>
    <font>
      <sz val="36"/>
      <color rgb="FF000000"/>
      <name val="Times New Roman"/>
      <family val="1"/>
    </font>
    <font>
      <sz val="36"/>
      <name val="EngTRESS A"/>
    </font>
    <font>
      <sz val="72"/>
      <color rgb="FF000000"/>
      <name val="Times New Roman"/>
      <family val="1"/>
    </font>
    <font>
      <sz val="144"/>
      <name val="EngTRESS A"/>
    </font>
  </fonts>
  <fills count="20">
    <fill>
      <patternFill patternType="none"/>
    </fill>
    <fill>
      <patternFill patternType="gray125"/>
    </fill>
    <fill>
      <patternFill patternType="solid">
        <fgColor rgb="FFC9DAF7"/>
      </patternFill>
    </fill>
    <fill>
      <patternFill patternType="solid">
        <fgColor rgb="FF3D85C6"/>
      </patternFill>
    </fill>
    <fill>
      <patternFill patternType="solid">
        <fgColor rgb="FFD9D1E9"/>
      </patternFill>
    </fill>
    <fill>
      <patternFill patternType="solid">
        <fgColor rgb="FF674EA7"/>
      </patternFill>
    </fill>
    <fill>
      <patternFill patternType="solid">
        <fgColor rgb="FFD9EAD3"/>
      </patternFill>
    </fill>
    <fill>
      <patternFill patternType="solid">
        <fgColor rgb="FF93C47D"/>
      </patternFill>
    </fill>
    <fill>
      <patternFill patternType="solid">
        <fgColor rgb="FFFFF1CC"/>
      </patternFill>
    </fill>
    <fill>
      <patternFill patternType="solid">
        <fgColor rgb="FFFFD966"/>
      </patternFill>
    </fill>
    <fill>
      <patternFill patternType="solid">
        <fgColor rgb="FFF4CCCC"/>
      </patternFill>
    </fill>
    <fill>
      <patternFill patternType="solid">
        <fgColor rgb="FFE06666"/>
      </patternFill>
    </fill>
    <fill>
      <patternFill patternType="solid">
        <fgColor rgb="FFF3F3F3"/>
      </patternFill>
    </fill>
    <fill>
      <patternFill patternType="solid">
        <fgColor rgb="FFEEEEEE"/>
      </patternFill>
    </fill>
    <fill>
      <patternFill patternType="solid">
        <fgColor rgb="FFCCCCCC"/>
      </patternFill>
    </fill>
    <fill>
      <patternFill patternType="solid">
        <fgColor rgb="FF666666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right" vertical="top" wrapText="1" indent="3"/>
    </xf>
    <xf numFmtId="0" fontId="1" fillId="7" borderId="1" xfId="0" applyFont="1" applyFill="1" applyBorder="1" applyAlignment="1">
      <alignment horizontal="left" vertical="top" wrapText="1" indent="3"/>
    </xf>
    <xf numFmtId="0" fontId="1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right" vertical="top" wrapText="1" indent="3"/>
    </xf>
    <xf numFmtId="0" fontId="1" fillId="8" borderId="1" xfId="0" applyFont="1" applyFill="1" applyBorder="1" applyAlignment="1">
      <alignment horizontal="left" vertical="top" wrapText="1" indent="3"/>
    </xf>
    <xf numFmtId="0" fontId="1" fillId="9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right" vertical="top" wrapText="1" indent="3"/>
    </xf>
    <xf numFmtId="0" fontId="1" fillId="9" borderId="1" xfId="0" applyFont="1" applyFill="1" applyBorder="1" applyAlignment="1">
      <alignment horizontal="left" vertical="top" wrapText="1" indent="3"/>
    </xf>
    <xf numFmtId="0" fontId="1" fillId="10" borderId="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right" vertical="top" wrapText="1" indent="3"/>
    </xf>
    <xf numFmtId="0" fontId="1" fillId="11" borderId="1" xfId="0" applyFont="1" applyFill="1" applyBorder="1" applyAlignment="1">
      <alignment horizontal="center" vertical="top" wrapText="1"/>
    </xf>
    <xf numFmtId="0" fontId="1" fillId="11" borderId="1" xfId="0" applyFont="1" applyFill="1" applyBorder="1" applyAlignment="1">
      <alignment horizontal="right" vertical="top" wrapText="1" indent="3"/>
    </xf>
    <xf numFmtId="0" fontId="1" fillId="11" borderId="1" xfId="0" applyFont="1" applyFill="1" applyBorder="1" applyAlignment="1">
      <alignment horizontal="left" vertical="top" wrapText="1" indent="3"/>
    </xf>
    <xf numFmtId="0" fontId="1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horizontal="right" vertical="top" wrapText="1" indent="3"/>
    </xf>
    <xf numFmtId="0" fontId="1" fillId="12" borderId="1" xfId="0" applyFont="1" applyFill="1" applyBorder="1" applyAlignment="1">
      <alignment horizontal="right" vertical="top" wrapText="1" indent="4"/>
    </xf>
    <xf numFmtId="0" fontId="1" fillId="12" borderId="1" xfId="0" applyFont="1" applyFill="1" applyBorder="1" applyAlignment="1">
      <alignment horizontal="left" vertical="top" wrapText="1" indent="3"/>
    </xf>
    <xf numFmtId="0" fontId="1" fillId="12" borderId="1" xfId="0" applyFont="1" applyFill="1" applyBorder="1" applyAlignment="1">
      <alignment horizontal="right" vertical="top" wrapText="1" indent="2"/>
    </xf>
    <xf numFmtId="0" fontId="1" fillId="13" borderId="1" xfId="0" applyFont="1" applyFill="1" applyBorder="1" applyAlignment="1">
      <alignment horizontal="center" vertical="top" wrapText="1"/>
    </xf>
    <xf numFmtId="0" fontId="1" fillId="13" borderId="1" xfId="0" applyFont="1" applyFill="1" applyBorder="1" applyAlignment="1">
      <alignment horizontal="right" vertical="top" wrapText="1" indent="3"/>
    </xf>
    <xf numFmtId="0" fontId="1" fillId="13" borderId="1" xfId="0" applyFont="1" applyFill="1" applyBorder="1" applyAlignment="1">
      <alignment horizontal="left" vertical="top" wrapText="1" indent="3"/>
    </xf>
    <xf numFmtId="0" fontId="1" fillId="14" borderId="1" xfId="0" applyFont="1" applyFill="1" applyBorder="1" applyAlignment="1">
      <alignment horizontal="center" vertical="top" wrapText="1"/>
    </xf>
    <xf numFmtId="0" fontId="1" fillId="14" borderId="1" xfId="0" applyFont="1" applyFill="1" applyBorder="1" applyAlignment="1">
      <alignment horizontal="right" vertical="top" wrapText="1" indent="4"/>
    </xf>
    <xf numFmtId="0" fontId="1" fillId="14" borderId="1" xfId="0" applyFont="1" applyFill="1" applyBorder="1" applyAlignment="1">
      <alignment horizontal="right" vertical="top" wrapText="1" indent="3"/>
    </xf>
    <xf numFmtId="0" fontId="1" fillId="14" borderId="1" xfId="0" applyFont="1" applyFill="1" applyBorder="1" applyAlignment="1">
      <alignment horizontal="left" vertical="top" wrapText="1" indent="3"/>
    </xf>
    <xf numFmtId="0" fontId="1" fillId="14" borderId="1" xfId="0" applyFont="1" applyFill="1" applyBorder="1" applyAlignment="1">
      <alignment horizontal="right" vertical="top" wrapText="1" indent="2"/>
    </xf>
    <xf numFmtId="0" fontId="1" fillId="15" borderId="1" xfId="0" applyFont="1" applyFill="1" applyBorder="1" applyAlignment="1">
      <alignment horizontal="center" vertical="top" wrapText="1"/>
    </xf>
    <xf numFmtId="0" fontId="1" fillId="15" borderId="1" xfId="0" applyFont="1" applyFill="1" applyBorder="1" applyAlignment="1">
      <alignment horizontal="right" vertical="top" wrapText="1" indent="4"/>
    </xf>
    <xf numFmtId="0" fontId="1" fillId="15" borderId="1" xfId="0" applyFont="1" applyFill="1" applyBorder="1" applyAlignment="1">
      <alignment horizontal="left" vertical="top" wrapText="1" indent="3"/>
    </xf>
    <xf numFmtId="1" fontId="2" fillId="0" borderId="3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5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 shrinkToFit="1"/>
    </xf>
    <xf numFmtId="0" fontId="7" fillId="17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6" fillId="19" borderId="5" xfId="0" applyFont="1" applyFill="1" applyBorder="1" applyAlignment="1">
      <alignment horizontal="center" vertical="center" wrapText="1"/>
    </xf>
    <xf numFmtId="0" fontId="6" fillId="19" borderId="6" xfId="0" applyFont="1" applyFill="1" applyBorder="1" applyAlignment="1">
      <alignment horizontal="center" vertical="center" wrapText="1"/>
    </xf>
    <xf numFmtId="0" fontId="6" fillId="19" borderId="4" xfId="0" applyFont="1" applyFill="1" applyBorder="1" applyAlignment="1">
      <alignment horizontal="center" vertical="center" wrapText="1"/>
    </xf>
    <xf numFmtId="0" fontId="6" fillId="19" borderId="7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17" borderId="6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6" fillId="18" borderId="6" xfId="0" applyFont="1" applyFill="1" applyBorder="1" applyAlignment="1">
      <alignment horizontal="center" vertical="center" wrapText="1"/>
    </xf>
    <xf numFmtId="0" fontId="6" fillId="17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9.png"/><Relationship Id="rId18" Type="http://schemas.openxmlformats.org/officeDocument/2006/relationships/image" Target="../media/image15.png"/><Relationship Id="rId26" Type="http://schemas.openxmlformats.org/officeDocument/2006/relationships/image" Target="../media/image18.png"/><Relationship Id="rId3" Type="http://schemas.openxmlformats.org/officeDocument/2006/relationships/image" Target="../media/image2.png"/><Relationship Id="rId21" Type="http://schemas.openxmlformats.org/officeDocument/2006/relationships/image" Target="../media/image21.png"/><Relationship Id="rId7" Type="http://schemas.openxmlformats.org/officeDocument/2006/relationships/image" Target="../media/image30.png"/><Relationship Id="rId12" Type="http://schemas.openxmlformats.org/officeDocument/2006/relationships/image" Target="../media/image7.png"/><Relationship Id="rId17" Type="http://schemas.openxmlformats.org/officeDocument/2006/relationships/image" Target="../media/image13.png"/><Relationship Id="rId25" Type="http://schemas.openxmlformats.org/officeDocument/2006/relationships/image" Target="../media/image20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0" Type="http://schemas.openxmlformats.org/officeDocument/2006/relationships/image" Target="../media/image17.png"/><Relationship Id="rId1" Type="http://schemas.openxmlformats.org/officeDocument/2006/relationships/image" Target="../media/image8.png"/><Relationship Id="rId6" Type="http://schemas.openxmlformats.org/officeDocument/2006/relationships/image" Target="../media/image29.png"/><Relationship Id="rId11" Type="http://schemas.openxmlformats.org/officeDocument/2006/relationships/image" Target="../media/image6.png"/><Relationship Id="rId24" Type="http://schemas.openxmlformats.org/officeDocument/2006/relationships/image" Target="../media/image16.png"/><Relationship Id="rId5" Type="http://schemas.openxmlformats.org/officeDocument/2006/relationships/image" Target="../media/image4.png"/><Relationship Id="rId15" Type="http://schemas.openxmlformats.org/officeDocument/2006/relationships/image" Target="../media/image11.png"/><Relationship Id="rId23" Type="http://schemas.openxmlformats.org/officeDocument/2006/relationships/image" Target="../media/image14.png"/><Relationship Id="rId28" Type="http://schemas.openxmlformats.org/officeDocument/2006/relationships/image" Target="../media/image24.png"/><Relationship Id="rId10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3.png"/><Relationship Id="rId9" Type="http://schemas.openxmlformats.org/officeDocument/2006/relationships/image" Target="../media/image32.png"/><Relationship Id="rId14" Type="http://schemas.openxmlformats.org/officeDocument/2006/relationships/image" Target="../media/image10.png"/><Relationship Id="rId22" Type="http://schemas.openxmlformats.org/officeDocument/2006/relationships/image" Target="../media/image22.png"/><Relationship Id="rId27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71939</xdr:colOff>
      <xdr:row>21</xdr:row>
      <xdr:rowOff>115070</xdr:rowOff>
    </xdr:from>
    <xdr:to>
      <xdr:col>1</xdr:col>
      <xdr:colOff>888755</xdr:colOff>
      <xdr:row>21</xdr:row>
      <xdr:rowOff>1051034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715" y="6303036"/>
          <a:ext cx="816816" cy="935964"/>
        </a:xfrm>
        <a:prstGeom prst="rect">
          <a:avLst/>
        </a:prstGeom>
      </xdr:spPr>
    </xdr:pic>
    <xdr:clientData/>
  </xdr:twoCellAnchor>
  <xdr:twoCellAnchor>
    <xdr:from>
      <xdr:col>1</xdr:col>
      <xdr:colOff>65370</xdr:colOff>
      <xdr:row>7</xdr:row>
      <xdr:rowOff>81856</xdr:rowOff>
    </xdr:from>
    <xdr:to>
      <xdr:col>1</xdr:col>
      <xdr:colOff>924078</xdr:colOff>
      <xdr:row>7</xdr:row>
      <xdr:rowOff>1018189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146" y="81856"/>
          <a:ext cx="858708" cy="936333"/>
        </a:xfrm>
        <a:prstGeom prst="rect">
          <a:avLst/>
        </a:prstGeom>
      </xdr:spPr>
    </xdr:pic>
    <xdr:clientData/>
  </xdr:twoCellAnchor>
  <xdr:twoCellAnchor editAs="oneCell">
    <xdr:from>
      <xdr:col>1</xdr:col>
      <xdr:colOff>39094</xdr:colOff>
      <xdr:row>35</xdr:row>
      <xdr:rowOff>49014</xdr:rowOff>
    </xdr:from>
    <xdr:to>
      <xdr:col>1</xdr:col>
      <xdr:colOff>921058</xdr:colOff>
      <xdr:row>35</xdr:row>
      <xdr:rowOff>1057603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5407" y="26290389"/>
          <a:ext cx="881964" cy="1008589"/>
        </a:xfrm>
        <a:prstGeom prst="rect">
          <a:avLst/>
        </a:prstGeom>
      </xdr:spPr>
    </xdr:pic>
    <xdr:clientData/>
  </xdr:twoCellAnchor>
  <xdr:twoCellAnchor editAs="oneCell">
    <xdr:from>
      <xdr:col>1</xdr:col>
      <xdr:colOff>65369</xdr:colOff>
      <xdr:row>49</xdr:row>
      <xdr:rowOff>105327</xdr:rowOff>
    </xdr:from>
    <xdr:to>
      <xdr:col>1</xdr:col>
      <xdr:colOff>865714</xdr:colOff>
      <xdr:row>49</xdr:row>
      <xdr:rowOff>1037897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85628" y="6293293"/>
          <a:ext cx="800345" cy="932570"/>
        </a:xfrm>
        <a:prstGeom prst="rect">
          <a:avLst/>
        </a:prstGeom>
      </xdr:spPr>
    </xdr:pic>
    <xdr:clientData/>
  </xdr:twoCellAnchor>
  <xdr:twoCellAnchor editAs="oneCell">
    <xdr:from>
      <xdr:col>1</xdr:col>
      <xdr:colOff>91645</xdr:colOff>
      <xdr:row>14</xdr:row>
      <xdr:rowOff>115070</xdr:rowOff>
    </xdr:from>
    <xdr:to>
      <xdr:col>1</xdr:col>
      <xdr:colOff>899672</xdr:colOff>
      <xdr:row>14</xdr:row>
      <xdr:rowOff>1037897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6303036"/>
          <a:ext cx="808027" cy="922827"/>
        </a:xfrm>
        <a:prstGeom prst="rect">
          <a:avLst/>
        </a:prstGeom>
      </xdr:spPr>
    </xdr:pic>
    <xdr:clientData/>
  </xdr:twoCellAnchor>
  <xdr:twoCellAnchor editAs="oneCell">
    <xdr:from>
      <xdr:col>1</xdr:col>
      <xdr:colOff>71940</xdr:colOff>
      <xdr:row>28</xdr:row>
      <xdr:rowOff>75289</xdr:rowOff>
    </xdr:from>
    <xdr:to>
      <xdr:col>1</xdr:col>
      <xdr:colOff>922646</xdr:colOff>
      <xdr:row>28</xdr:row>
      <xdr:rowOff>1037897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3423" y="75289"/>
          <a:ext cx="850706" cy="962608"/>
        </a:xfrm>
        <a:prstGeom prst="rect">
          <a:avLst/>
        </a:prstGeom>
      </xdr:spPr>
    </xdr:pic>
    <xdr:clientData/>
  </xdr:twoCellAnchor>
  <xdr:twoCellAnchor editAs="oneCell">
    <xdr:from>
      <xdr:col>1</xdr:col>
      <xdr:colOff>78507</xdr:colOff>
      <xdr:row>42</xdr:row>
      <xdr:rowOff>113713</xdr:rowOff>
    </xdr:from>
    <xdr:to>
      <xdr:col>1</xdr:col>
      <xdr:colOff>844554</xdr:colOff>
      <xdr:row>42</xdr:row>
      <xdr:rowOff>998483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9990" y="6301679"/>
          <a:ext cx="766047" cy="884770"/>
        </a:xfrm>
        <a:prstGeom prst="rect">
          <a:avLst/>
        </a:prstGeom>
      </xdr:spPr>
    </xdr:pic>
    <xdr:clientData/>
  </xdr:twoCellAnchor>
  <xdr:twoCellAnchor>
    <xdr:from>
      <xdr:col>1</xdr:col>
      <xdr:colOff>65689</xdr:colOff>
      <xdr:row>0</xdr:row>
      <xdr:rowOff>65690</xdr:rowOff>
    </xdr:from>
    <xdr:to>
      <xdr:col>1</xdr:col>
      <xdr:colOff>914566</xdr:colOff>
      <xdr:row>0</xdr:row>
      <xdr:rowOff>1011621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3</xdr:col>
      <xdr:colOff>71939</xdr:colOff>
      <xdr:row>21</xdr:row>
      <xdr:rowOff>115070</xdr:rowOff>
    </xdr:from>
    <xdr:ext cx="816816" cy="935964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3</xdr:col>
      <xdr:colOff>65370</xdr:colOff>
      <xdr:row>7</xdr:row>
      <xdr:rowOff>81856</xdr:rowOff>
    </xdr:from>
    <xdr:to>
      <xdr:col>3</xdr:col>
      <xdr:colOff>924078</xdr:colOff>
      <xdr:row>7</xdr:row>
      <xdr:rowOff>1018189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3</xdr:col>
      <xdr:colOff>39094</xdr:colOff>
      <xdr:row>35</xdr:row>
      <xdr:rowOff>49014</xdr:rowOff>
    </xdr:from>
    <xdr:ext cx="881964" cy="1008589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3</xdr:col>
      <xdr:colOff>65369</xdr:colOff>
      <xdr:row>49</xdr:row>
      <xdr:rowOff>105327</xdr:rowOff>
    </xdr:from>
    <xdr:ext cx="800345" cy="93257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3</xdr:col>
      <xdr:colOff>91645</xdr:colOff>
      <xdr:row>14</xdr:row>
      <xdr:rowOff>115070</xdr:rowOff>
    </xdr:from>
    <xdr:ext cx="808027" cy="922827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3</xdr:col>
      <xdr:colOff>71940</xdr:colOff>
      <xdr:row>28</xdr:row>
      <xdr:rowOff>75289</xdr:rowOff>
    </xdr:from>
    <xdr:ext cx="850706" cy="962608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3</xdr:col>
      <xdr:colOff>78507</xdr:colOff>
      <xdr:row>42</xdr:row>
      <xdr:rowOff>113713</xdr:rowOff>
    </xdr:from>
    <xdr:ext cx="766047" cy="88477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3</xdr:col>
      <xdr:colOff>65689</xdr:colOff>
      <xdr:row>0</xdr:row>
      <xdr:rowOff>65690</xdr:rowOff>
    </xdr:from>
    <xdr:to>
      <xdr:col>3</xdr:col>
      <xdr:colOff>914566</xdr:colOff>
      <xdr:row>0</xdr:row>
      <xdr:rowOff>1011621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5</xdr:col>
      <xdr:colOff>71939</xdr:colOff>
      <xdr:row>21</xdr:row>
      <xdr:rowOff>115070</xdr:rowOff>
    </xdr:from>
    <xdr:ext cx="816816" cy="935964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5</xdr:col>
      <xdr:colOff>65370</xdr:colOff>
      <xdr:row>7</xdr:row>
      <xdr:rowOff>81856</xdr:rowOff>
    </xdr:from>
    <xdr:to>
      <xdr:col>5</xdr:col>
      <xdr:colOff>924078</xdr:colOff>
      <xdr:row>7</xdr:row>
      <xdr:rowOff>1018189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5</xdr:col>
      <xdr:colOff>39094</xdr:colOff>
      <xdr:row>35</xdr:row>
      <xdr:rowOff>49014</xdr:rowOff>
    </xdr:from>
    <xdr:ext cx="881964" cy="1008589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5</xdr:col>
      <xdr:colOff>65369</xdr:colOff>
      <xdr:row>49</xdr:row>
      <xdr:rowOff>105327</xdr:rowOff>
    </xdr:from>
    <xdr:ext cx="800345" cy="93257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5</xdr:col>
      <xdr:colOff>91645</xdr:colOff>
      <xdr:row>14</xdr:row>
      <xdr:rowOff>115070</xdr:rowOff>
    </xdr:from>
    <xdr:ext cx="808027" cy="922827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5</xdr:col>
      <xdr:colOff>71940</xdr:colOff>
      <xdr:row>28</xdr:row>
      <xdr:rowOff>75289</xdr:rowOff>
    </xdr:from>
    <xdr:ext cx="850706" cy="962608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5</xdr:col>
      <xdr:colOff>78507</xdr:colOff>
      <xdr:row>42</xdr:row>
      <xdr:rowOff>113713</xdr:rowOff>
    </xdr:from>
    <xdr:ext cx="766047" cy="88477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5</xdr:col>
      <xdr:colOff>65689</xdr:colOff>
      <xdr:row>0</xdr:row>
      <xdr:rowOff>65690</xdr:rowOff>
    </xdr:from>
    <xdr:to>
      <xdr:col>5</xdr:col>
      <xdr:colOff>914566</xdr:colOff>
      <xdr:row>0</xdr:row>
      <xdr:rowOff>1011621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7</xdr:col>
      <xdr:colOff>71939</xdr:colOff>
      <xdr:row>21</xdr:row>
      <xdr:rowOff>115070</xdr:rowOff>
    </xdr:from>
    <xdr:ext cx="816816" cy="935964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7</xdr:col>
      <xdr:colOff>65370</xdr:colOff>
      <xdr:row>7</xdr:row>
      <xdr:rowOff>81856</xdr:rowOff>
    </xdr:from>
    <xdr:to>
      <xdr:col>7</xdr:col>
      <xdr:colOff>924078</xdr:colOff>
      <xdr:row>7</xdr:row>
      <xdr:rowOff>1018189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7</xdr:col>
      <xdr:colOff>39094</xdr:colOff>
      <xdr:row>35</xdr:row>
      <xdr:rowOff>49014</xdr:rowOff>
    </xdr:from>
    <xdr:ext cx="881964" cy="1008589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7</xdr:col>
      <xdr:colOff>65369</xdr:colOff>
      <xdr:row>49</xdr:row>
      <xdr:rowOff>105327</xdr:rowOff>
    </xdr:from>
    <xdr:ext cx="800345" cy="93257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7</xdr:col>
      <xdr:colOff>91645</xdr:colOff>
      <xdr:row>14</xdr:row>
      <xdr:rowOff>115070</xdr:rowOff>
    </xdr:from>
    <xdr:ext cx="808027" cy="922827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7</xdr:col>
      <xdr:colOff>71940</xdr:colOff>
      <xdr:row>28</xdr:row>
      <xdr:rowOff>75289</xdr:rowOff>
    </xdr:from>
    <xdr:ext cx="850706" cy="962608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7</xdr:col>
      <xdr:colOff>78507</xdr:colOff>
      <xdr:row>42</xdr:row>
      <xdr:rowOff>113713</xdr:rowOff>
    </xdr:from>
    <xdr:ext cx="766047" cy="88477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7</xdr:col>
      <xdr:colOff>65689</xdr:colOff>
      <xdr:row>0</xdr:row>
      <xdr:rowOff>65690</xdr:rowOff>
    </xdr:from>
    <xdr:to>
      <xdr:col>7</xdr:col>
      <xdr:colOff>914566</xdr:colOff>
      <xdr:row>0</xdr:row>
      <xdr:rowOff>1011621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9</xdr:col>
      <xdr:colOff>71939</xdr:colOff>
      <xdr:row>21</xdr:row>
      <xdr:rowOff>115070</xdr:rowOff>
    </xdr:from>
    <xdr:ext cx="816816" cy="935964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9</xdr:col>
      <xdr:colOff>65370</xdr:colOff>
      <xdr:row>7</xdr:row>
      <xdr:rowOff>81856</xdr:rowOff>
    </xdr:from>
    <xdr:to>
      <xdr:col>9</xdr:col>
      <xdr:colOff>924078</xdr:colOff>
      <xdr:row>7</xdr:row>
      <xdr:rowOff>1018189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9</xdr:col>
      <xdr:colOff>39094</xdr:colOff>
      <xdr:row>35</xdr:row>
      <xdr:rowOff>49014</xdr:rowOff>
    </xdr:from>
    <xdr:ext cx="881964" cy="1008589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9</xdr:col>
      <xdr:colOff>65369</xdr:colOff>
      <xdr:row>49</xdr:row>
      <xdr:rowOff>105327</xdr:rowOff>
    </xdr:from>
    <xdr:ext cx="800345" cy="93257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9</xdr:col>
      <xdr:colOff>91645</xdr:colOff>
      <xdr:row>14</xdr:row>
      <xdr:rowOff>115070</xdr:rowOff>
    </xdr:from>
    <xdr:ext cx="808027" cy="922827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9</xdr:col>
      <xdr:colOff>71940</xdr:colOff>
      <xdr:row>28</xdr:row>
      <xdr:rowOff>75289</xdr:rowOff>
    </xdr:from>
    <xdr:ext cx="850706" cy="962608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9</xdr:col>
      <xdr:colOff>78507</xdr:colOff>
      <xdr:row>42</xdr:row>
      <xdr:rowOff>113713</xdr:rowOff>
    </xdr:from>
    <xdr:ext cx="766047" cy="88477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9</xdr:col>
      <xdr:colOff>65689</xdr:colOff>
      <xdr:row>0</xdr:row>
      <xdr:rowOff>65690</xdr:rowOff>
    </xdr:from>
    <xdr:to>
      <xdr:col>9</xdr:col>
      <xdr:colOff>914566</xdr:colOff>
      <xdr:row>0</xdr:row>
      <xdr:rowOff>1011621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11</xdr:col>
      <xdr:colOff>71939</xdr:colOff>
      <xdr:row>21</xdr:row>
      <xdr:rowOff>115070</xdr:rowOff>
    </xdr:from>
    <xdr:ext cx="816816" cy="935964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11</xdr:col>
      <xdr:colOff>65370</xdr:colOff>
      <xdr:row>7</xdr:row>
      <xdr:rowOff>81856</xdr:rowOff>
    </xdr:from>
    <xdr:to>
      <xdr:col>11</xdr:col>
      <xdr:colOff>924078</xdr:colOff>
      <xdr:row>7</xdr:row>
      <xdr:rowOff>1018189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11</xdr:col>
      <xdr:colOff>39094</xdr:colOff>
      <xdr:row>35</xdr:row>
      <xdr:rowOff>49014</xdr:rowOff>
    </xdr:from>
    <xdr:ext cx="881964" cy="1008589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11</xdr:col>
      <xdr:colOff>65369</xdr:colOff>
      <xdr:row>49</xdr:row>
      <xdr:rowOff>105327</xdr:rowOff>
    </xdr:from>
    <xdr:ext cx="800345" cy="93257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11</xdr:col>
      <xdr:colOff>91645</xdr:colOff>
      <xdr:row>14</xdr:row>
      <xdr:rowOff>115070</xdr:rowOff>
    </xdr:from>
    <xdr:ext cx="808027" cy="922827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11</xdr:col>
      <xdr:colOff>71940</xdr:colOff>
      <xdr:row>28</xdr:row>
      <xdr:rowOff>75289</xdr:rowOff>
    </xdr:from>
    <xdr:ext cx="850706" cy="962608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11</xdr:col>
      <xdr:colOff>78507</xdr:colOff>
      <xdr:row>42</xdr:row>
      <xdr:rowOff>113713</xdr:rowOff>
    </xdr:from>
    <xdr:ext cx="766047" cy="88477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11</xdr:col>
      <xdr:colOff>65689</xdr:colOff>
      <xdr:row>0</xdr:row>
      <xdr:rowOff>65690</xdr:rowOff>
    </xdr:from>
    <xdr:to>
      <xdr:col>11</xdr:col>
      <xdr:colOff>914566</xdr:colOff>
      <xdr:row>0</xdr:row>
      <xdr:rowOff>1011621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89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13</xdr:col>
      <xdr:colOff>71939</xdr:colOff>
      <xdr:row>21</xdr:row>
      <xdr:rowOff>115070</xdr:rowOff>
    </xdr:from>
    <xdr:ext cx="816816" cy="935964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9" y="18736445"/>
          <a:ext cx="816816" cy="935964"/>
        </a:xfrm>
        <a:prstGeom prst="rect">
          <a:avLst/>
        </a:prstGeom>
      </xdr:spPr>
    </xdr:pic>
    <xdr:clientData/>
  </xdr:oneCellAnchor>
  <xdr:twoCellAnchor>
    <xdr:from>
      <xdr:col>13</xdr:col>
      <xdr:colOff>65370</xdr:colOff>
      <xdr:row>7</xdr:row>
      <xdr:rowOff>81856</xdr:rowOff>
    </xdr:from>
    <xdr:to>
      <xdr:col>13</xdr:col>
      <xdr:colOff>924078</xdr:colOff>
      <xdr:row>7</xdr:row>
      <xdr:rowOff>1018189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0" y="6296919"/>
          <a:ext cx="858708" cy="936333"/>
        </a:xfrm>
        <a:prstGeom prst="rect">
          <a:avLst/>
        </a:prstGeom>
      </xdr:spPr>
    </xdr:pic>
    <xdr:clientData/>
  </xdr:twoCellAnchor>
  <xdr:oneCellAnchor>
    <xdr:from>
      <xdr:col>13</xdr:col>
      <xdr:colOff>39094</xdr:colOff>
      <xdr:row>35</xdr:row>
      <xdr:rowOff>49014</xdr:rowOff>
    </xdr:from>
    <xdr:ext cx="881964" cy="1008589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4" y="31100514"/>
          <a:ext cx="881964" cy="1008589"/>
        </a:xfrm>
        <a:prstGeom prst="rect">
          <a:avLst/>
        </a:prstGeom>
      </xdr:spPr>
    </xdr:pic>
    <xdr:clientData/>
  </xdr:oneCellAnchor>
  <xdr:oneCellAnchor>
    <xdr:from>
      <xdr:col>13</xdr:col>
      <xdr:colOff>65369</xdr:colOff>
      <xdr:row>49</xdr:row>
      <xdr:rowOff>105327</xdr:rowOff>
    </xdr:from>
    <xdr:ext cx="800345" cy="93257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69" y="43515515"/>
          <a:ext cx="800345" cy="932570"/>
        </a:xfrm>
        <a:prstGeom prst="rect">
          <a:avLst/>
        </a:prstGeom>
      </xdr:spPr>
    </xdr:pic>
    <xdr:clientData/>
  </xdr:oneCellAnchor>
  <xdr:oneCellAnchor>
    <xdr:from>
      <xdr:col>13</xdr:col>
      <xdr:colOff>91645</xdr:colOff>
      <xdr:row>14</xdr:row>
      <xdr:rowOff>115070</xdr:rowOff>
    </xdr:from>
    <xdr:ext cx="808027" cy="922827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45" y="12545195"/>
          <a:ext cx="808027" cy="922827"/>
        </a:xfrm>
        <a:prstGeom prst="rect">
          <a:avLst/>
        </a:prstGeom>
      </xdr:spPr>
    </xdr:pic>
    <xdr:clientData/>
  </xdr:oneCellAnchor>
  <xdr:oneCellAnchor>
    <xdr:from>
      <xdr:col>13</xdr:col>
      <xdr:colOff>71940</xdr:colOff>
      <xdr:row>28</xdr:row>
      <xdr:rowOff>75289</xdr:rowOff>
    </xdr:from>
    <xdr:ext cx="850706" cy="962608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40" y="24911727"/>
          <a:ext cx="850706" cy="962608"/>
        </a:xfrm>
        <a:prstGeom prst="rect">
          <a:avLst/>
        </a:prstGeom>
      </xdr:spPr>
    </xdr:pic>
    <xdr:clientData/>
  </xdr:oneCellAnchor>
  <xdr:oneCellAnchor>
    <xdr:from>
      <xdr:col>13</xdr:col>
      <xdr:colOff>78507</xdr:colOff>
      <xdr:row>42</xdr:row>
      <xdr:rowOff>113713</xdr:rowOff>
    </xdr:from>
    <xdr:ext cx="766047" cy="88477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07" y="37332651"/>
          <a:ext cx="766047" cy="884770"/>
        </a:xfrm>
        <a:prstGeom prst="rect">
          <a:avLst/>
        </a:prstGeom>
      </xdr:spPr>
    </xdr:pic>
    <xdr:clientData/>
  </xdr:oneCellAnchor>
  <xdr:twoCellAnchor>
    <xdr:from>
      <xdr:col>13</xdr:col>
      <xdr:colOff>52573</xdr:colOff>
      <xdr:row>0</xdr:row>
      <xdr:rowOff>70373</xdr:rowOff>
    </xdr:from>
    <xdr:to>
      <xdr:col>13</xdr:col>
      <xdr:colOff>893045</xdr:colOff>
      <xdr:row>0</xdr:row>
      <xdr:rowOff>1006938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20073" y="70373"/>
          <a:ext cx="840472" cy="936565"/>
        </a:xfrm>
        <a:prstGeom prst="rect">
          <a:avLst/>
        </a:prstGeom>
      </xdr:spPr>
    </xdr:pic>
    <xdr:clientData/>
  </xdr:twoCellAnchor>
  <xdr:oneCellAnchor>
    <xdr:from>
      <xdr:col>1</xdr:col>
      <xdr:colOff>71938</xdr:colOff>
      <xdr:row>56</xdr:row>
      <xdr:rowOff>29307</xdr:rowOff>
    </xdr:from>
    <xdr:ext cx="908550" cy="1041224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56</xdr:row>
      <xdr:rowOff>29307</xdr:rowOff>
    </xdr:from>
    <xdr:ext cx="908550" cy="1041224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56</xdr:row>
      <xdr:rowOff>29307</xdr:rowOff>
    </xdr:from>
    <xdr:ext cx="908550" cy="1041224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56</xdr:row>
      <xdr:rowOff>29307</xdr:rowOff>
    </xdr:from>
    <xdr:ext cx="908550" cy="1041224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56</xdr:row>
      <xdr:rowOff>29307</xdr:rowOff>
    </xdr:from>
    <xdr:ext cx="908550" cy="1041224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56</xdr:row>
      <xdr:rowOff>29307</xdr:rowOff>
    </xdr:from>
    <xdr:ext cx="908550" cy="1041224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56</xdr:row>
      <xdr:rowOff>29307</xdr:rowOff>
    </xdr:from>
    <xdr:ext cx="908550" cy="1041224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05402" y="52416807"/>
          <a:ext cx="908550" cy="1041224"/>
        </a:xfrm>
        <a:prstGeom prst="rect">
          <a:avLst/>
        </a:prstGeom>
      </xdr:spPr>
    </xdr:pic>
    <xdr:clientData/>
  </xdr:oneCellAnchor>
  <xdr:oneCellAnchor>
    <xdr:from>
      <xdr:col>1</xdr:col>
      <xdr:colOff>85299</xdr:colOff>
      <xdr:row>70</xdr:row>
      <xdr:rowOff>45027</xdr:rowOff>
    </xdr:from>
    <xdr:ext cx="881829" cy="1013365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3</xdr:col>
      <xdr:colOff>85299</xdr:colOff>
      <xdr:row>70</xdr:row>
      <xdr:rowOff>45027</xdr:rowOff>
    </xdr:from>
    <xdr:ext cx="881829" cy="1013365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5</xdr:col>
      <xdr:colOff>85299</xdr:colOff>
      <xdr:row>70</xdr:row>
      <xdr:rowOff>45027</xdr:rowOff>
    </xdr:from>
    <xdr:ext cx="881829" cy="1013365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7</xdr:col>
      <xdr:colOff>85299</xdr:colOff>
      <xdr:row>70</xdr:row>
      <xdr:rowOff>45027</xdr:rowOff>
    </xdr:from>
    <xdr:ext cx="881829" cy="1013365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9</xdr:col>
      <xdr:colOff>85299</xdr:colOff>
      <xdr:row>70</xdr:row>
      <xdr:rowOff>45027</xdr:rowOff>
    </xdr:from>
    <xdr:ext cx="881829" cy="1013365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11</xdr:col>
      <xdr:colOff>85299</xdr:colOff>
      <xdr:row>70</xdr:row>
      <xdr:rowOff>45027</xdr:rowOff>
    </xdr:from>
    <xdr:ext cx="881829" cy="1013365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13</xdr:col>
      <xdr:colOff>85299</xdr:colOff>
      <xdr:row>70</xdr:row>
      <xdr:rowOff>45027</xdr:rowOff>
    </xdr:from>
    <xdr:ext cx="881829" cy="1013365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763" y="63032491"/>
          <a:ext cx="881829" cy="1013365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84</xdr:row>
      <xdr:rowOff>29307</xdr:rowOff>
    </xdr:from>
    <xdr:ext cx="908551" cy="1047643"/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107831" y="52416807"/>
          <a:ext cx="908551" cy="1047643"/>
        </a:xfrm>
        <a:prstGeom prst="rect">
          <a:avLst/>
        </a:prstGeom>
      </xdr:spPr>
    </xdr:pic>
    <xdr:clientData/>
  </xdr:oneCellAnchor>
  <xdr:oneCellAnchor>
    <xdr:from>
      <xdr:col>1</xdr:col>
      <xdr:colOff>71939</xdr:colOff>
      <xdr:row>98</xdr:row>
      <xdr:rowOff>29307</xdr:rowOff>
    </xdr:from>
    <xdr:ext cx="908551" cy="1042529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107832" y="59370057"/>
          <a:ext cx="908551" cy="1042529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112</xdr:row>
      <xdr:rowOff>55143</xdr:rowOff>
    </xdr:from>
    <xdr:ext cx="908550" cy="1044793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47756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119</xdr:row>
      <xdr:rowOff>29306</xdr:rowOff>
    </xdr:from>
    <xdr:ext cx="908550" cy="1053701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969529" y="106986397"/>
          <a:ext cx="908550" cy="1053701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126</xdr:row>
      <xdr:rowOff>29673</xdr:rowOff>
    </xdr:from>
    <xdr:ext cx="908550" cy="1032608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47756" y="114624082"/>
          <a:ext cx="908550" cy="1032608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133</xdr:row>
      <xdr:rowOff>29307</xdr:rowOff>
    </xdr:from>
    <xdr:ext cx="908550" cy="1033725"/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969529" y="114623716"/>
          <a:ext cx="908550" cy="1033725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154</xdr:row>
      <xdr:rowOff>29307</xdr:rowOff>
    </xdr:from>
    <xdr:ext cx="908550" cy="1030684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013074" y="114623716"/>
          <a:ext cx="908550" cy="1030684"/>
        </a:xfrm>
        <a:prstGeom prst="rect">
          <a:avLst/>
        </a:prstGeom>
      </xdr:spPr>
    </xdr:pic>
    <xdr:clientData/>
  </xdr:oneCellAnchor>
  <xdr:oneCellAnchor>
    <xdr:from>
      <xdr:col>1</xdr:col>
      <xdr:colOff>71939</xdr:colOff>
      <xdr:row>161</xdr:row>
      <xdr:rowOff>29307</xdr:rowOff>
    </xdr:from>
    <xdr:ext cx="908550" cy="1031646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034848" y="114623716"/>
          <a:ext cx="908550" cy="1031646"/>
        </a:xfrm>
        <a:prstGeom prst="rect">
          <a:avLst/>
        </a:prstGeom>
      </xdr:spPr>
    </xdr:pic>
    <xdr:clientData/>
  </xdr:oneCellAnchor>
  <xdr:oneCellAnchor>
    <xdr:from>
      <xdr:col>1</xdr:col>
      <xdr:colOff>71939</xdr:colOff>
      <xdr:row>140</xdr:row>
      <xdr:rowOff>29308</xdr:rowOff>
    </xdr:from>
    <xdr:ext cx="908549" cy="1041000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925984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1</xdr:col>
      <xdr:colOff>71940</xdr:colOff>
      <xdr:row>147</xdr:row>
      <xdr:rowOff>29308</xdr:rowOff>
    </xdr:from>
    <xdr:ext cx="908549" cy="1053944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47758" y="137535672"/>
          <a:ext cx="908549" cy="1053944"/>
        </a:xfrm>
        <a:prstGeom prst="rect">
          <a:avLst/>
        </a:prstGeom>
      </xdr:spPr>
    </xdr:pic>
    <xdr:clientData/>
  </xdr:oneCellAnchor>
  <xdr:oneCellAnchor>
    <xdr:from>
      <xdr:col>1</xdr:col>
      <xdr:colOff>71938</xdr:colOff>
      <xdr:row>168</xdr:row>
      <xdr:rowOff>29307</xdr:rowOff>
    </xdr:from>
    <xdr:ext cx="908548" cy="1041068"/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991302" y="137535671"/>
          <a:ext cx="908548" cy="1041068"/>
        </a:xfrm>
        <a:prstGeom prst="rect">
          <a:avLst/>
        </a:prstGeom>
      </xdr:spPr>
    </xdr:pic>
    <xdr:clientData/>
  </xdr:oneCellAnchor>
  <xdr:oneCellAnchor>
    <xdr:from>
      <xdr:col>1</xdr:col>
      <xdr:colOff>75833</xdr:colOff>
      <xdr:row>182</xdr:row>
      <xdr:rowOff>29307</xdr:rowOff>
    </xdr:from>
    <xdr:ext cx="907771" cy="1033396"/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995197" y="152810307"/>
          <a:ext cx="907771" cy="1033396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175</xdr:row>
      <xdr:rowOff>29307</xdr:rowOff>
    </xdr:from>
    <xdr:ext cx="908549" cy="1041270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034848" y="145172989"/>
          <a:ext cx="908549" cy="1041270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189</xdr:row>
      <xdr:rowOff>29307</xdr:rowOff>
    </xdr:from>
    <xdr:ext cx="908549" cy="1034523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034848" y="160447625"/>
          <a:ext cx="908549" cy="1034523"/>
        </a:xfrm>
        <a:prstGeom prst="rect">
          <a:avLst/>
        </a:prstGeom>
      </xdr:spPr>
    </xdr:pic>
    <xdr:clientData/>
  </xdr:oneCellAnchor>
  <xdr:oneCellAnchor>
    <xdr:from>
      <xdr:col>3</xdr:col>
      <xdr:colOff>75833</xdr:colOff>
      <xdr:row>182</xdr:row>
      <xdr:rowOff>29307</xdr:rowOff>
    </xdr:from>
    <xdr:ext cx="907771" cy="1033396"/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1</xdr:col>
      <xdr:colOff>71939</xdr:colOff>
      <xdr:row>175</xdr:row>
      <xdr:rowOff>29307</xdr:rowOff>
    </xdr:from>
    <xdr:ext cx="908549" cy="1041270"/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84212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168</xdr:row>
      <xdr:rowOff>29307</xdr:rowOff>
    </xdr:from>
    <xdr:ext cx="908548" cy="1041068"/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161</xdr:row>
      <xdr:rowOff>29307</xdr:rowOff>
    </xdr:from>
    <xdr:ext cx="908550" cy="1031646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1</xdr:col>
      <xdr:colOff>71939</xdr:colOff>
      <xdr:row>189</xdr:row>
      <xdr:rowOff>29307</xdr:rowOff>
    </xdr:from>
    <xdr:ext cx="908549" cy="1034523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84212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21</xdr:row>
      <xdr:rowOff>115070</xdr:rowOff>
    </xdr:from>
    <xdr:ext cx="816816" cy="935964"/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3</xdr:col>
      <xdr:colOff>65370</xdr:colOff>
      <xdr:row>7</xdr:row>
      <xdr:rowOff>81856</xdr:rowOff>
    </xdr:from>
    <xdr:to>
      <xdr:col>3</xdr:col>
      <xdr:colOff>924078</xdr:colOff>
      <xdr:row>7</xdr:row>
      <xdr:rowOff>1018189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3</xdr:col>
      <xdr:colOff>39094</xdr:colOff>
      <xdr:row>35</xdr:row>
      <xdr:rowOff>49014</xdr:rowOff>
    </xdr:from>
    <xdr:ext cx="881964" cy="1008589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3</xdr:col>
      <xdr:colOff>65369</xdr:colOff>
      <xdr:row>49</xdr:row>
      <xdr:rowOff>105327</xdr:rowOff>
    </xdr:from>
    <xdr:ext cx="800345" cy="932570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3</xdr:col>
      <xdr:colOff>91645</xdr:colOff>
      <xdr:row>14</xdr:row>
      <xdr:rowOff>115070</xdr:rowOff>
    </xdr:from>
    <xdr:ext cx="808027" cy="922827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3</xdr:col>
      <xdr:colOff>71940</xdr:colOff>
      <xdr:row>28</xdr:row>
      <xdr:rowOff>75289</xdr:rowOff>
    </xdr:from>
    <xdr:ext cx="850706" cy="962608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3</xdr:col>
      <xdr:colOff>78507</xdr:colOff>
      <xdr:row>42</xdr:row>
      <xdr:rowOff>113713</xdr:rowOff>
    </xdr:from>
    <xdr:ext cx="766047" cy="884770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3</xdr:col>
      <xdr:colOff>65689</xdr:colOff>
      <xdr:row>0</xdr:row>
      <xdr:rowOff>65690</xdr:rowOff>
    </xdr:from>
    <xdr:to>
      <xdr:col>3</xdr:col>
      <xdr:colOff>914566</xdr:colOff>
      <xdr:row>0</xdr:row>
      <xdr:rowOff>1011621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3</xdr:col>
      <xdr:colOff>71938</xdr:colOff>
      <xdr:row>56</xdr:row>
      <xdr:rowOff>29307</xdr:rowOff>
    </xdr:from>
    <xdr:ext cx="908550" cy="1041224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3</xdr:col>
      <xdr:colOff>85299</xdr:colOff>
      <xdr:row>70</xdr:row>
      <xdr:rowOff>45027</xdr:rowOff>
    </xdr:from>
    <xdr:ext cx="881829" cy="1013365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84</xdr:row>
      <xdr:rowOff>29307</xdr:rowOff>
    </xdr:from>
    <xdr:ext cx="908551" cy="1047643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98</xdr:row>
      <xdr:rowOff>29307</xdr:rowOff>
    </xdr:from>
    <xdr:ext cx="908551" cy="1042529"/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112</xdr:row>
      <xdr:rowOff>55143</xdr:rowOff>
    </xdr:from>
    <xdr:ext cx="908550" cy="1044793"/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119</xdr:row>
      <xdr:rowOff>29306</xdr:rowOff>
    </xdr:from>
    <xdr:ext cx="908550" cy="1053701"/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126</xdr:row>
      <xdr:rowOff>29673</xdr:rowOff>
    </xdr:from>
    <xdr:ext cx="908550" cy="1032608"/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133</xdr:row>
      <xdr:rowOff>29307</xdr:rowOff>
    </xdr:from>
    <xdr:ext cx="908550" cy="1033725"/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154</xdr:row>
      <xdr:rowOff>29307</xdr:rowOff>
    </xdr:from>
    <xdr:ext cx="908550" cy="1030684"/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161</xdr:row>
      <xdr:rowOff>29307</xdr:rowOff>
    </xdr:from>
    <xdr:ext cx="908550" cy="1031646"/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140</xdr:row>
      <xdr:rowOff>29308</xdr:rowOff>
    </xdr:from>
    <xdr:ext cx="908549" cy="1041000"/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3</xdr:col>
      <xdr:colOff>71940</xdr:colOff>
      <xdr:row>147</xdr:row>
      <xdr:rowOff>29308</xdr:rowOff>
    </xdr:from>
    <xdr:ext cx="908549" cy="1053944"/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3</xdr:col>
      <xdr:colOff>71938</xdr:colOff>
      <xdr:row>168</xdr:row>
      <xdr:rowOff>29307</xdr:rowOff>
    </xdr:from>
    <xdr:ext cx="908548" cy="1041068"/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3</xdr:col>
      <xdr:colOff>75833</xdr:colOff>
      <xdr:row>182</xdr:row>
      <xdr:rowOff>29307</xdr:rowOff>
    </xdr:from>
    <xdr:ext cx="907771" cy="1033396"/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175</xdr:row>
      <xdr:rowOff>29307</xdr:rowOff>
    </xdr:from>
    <xdr:ext cx="908549" cy="1041270"/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3</xdr:col>
      <xdr:colOff>71939</xdr:colOff>
      <xdr:row>189</xdr:row>
      <xdr:rowOff>29307</xdr:rowOff>
    </xdr:from>
    <xdr:ext cx="908549" cy="1034523"/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21</xdr:row>
      <xdr:rowOff>115070</xdr:rowOff>
    </xdr:from>
    <xdr:ext cx="816816" cy="935964"/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5</xdr:col>
      <xdr:colOff>65370</xdr:colOff>
      <xdr:row>7</xdr:row>
      <xdr:rowOff>81856</xdr:rowOff>
    </xdr:from>
    <xdr:to>
      <xdr:col>5</xdr:col>
      <xdr:colOff>924078</xdr:colOff>
      <xdr:row>7</xdr:row>
      <xdr:rowOff>1018189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5</xdr:col>
      <xdr:colOff>39094</xdr:colOff>
      <xdr:row>35</xdr:row>
      <xdr:rowOff>49014</xdr:rowOff>
    </xdr:from>
    <xdr:ext cx="881964" cy="1008589"/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5</xdr:col>
      <xdr:colOff>65369</xdr:colOff>
      <xdr:row>49</xdr:row>
      <xdr:rowOff>105327</xdr:rowOff>
    </xdr:from>
    <xdr:ext cx="800345" cy="932570"/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5</xdr:col>
      <xdr:colOff>91645</xdr:colOff>
      <xdr:row>14</xdr:row>
      <xdr:rowOff>115070</xdr:rowOff>
    </xdr:from>
    <xdr:ext cx="808027" cy="922827"/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5</xdr:col>
      <xdr:colOff>71940</xdr:colOff>
      <xdr:row>28</xdr:row>
      <xdr:rowOff>75289</xdr:rowOff>
    </xdr:from>
    <xdr:ext cx="850706" cy="962608"/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5</xdr:col>
      <xdr:colOff>78507</xdr:colOff>
      <xdr:row>42</xdr:row>
      <xdr:rowOff>113713</xdr:rowOff>
    </xdr:from>
    <xdr:ext cx="766047" cy="884770"/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5</xdr:col>
      <xdr:colOff>65689</xdr:colOff>
      <xdr:row>0</xdr:row>
      <xdr:rowOff>65690</xdr:rowOff>
    </xdr:from>
    <xdr:to>
      <xdr:col>5</xdr:col>
      <xdr:colOff>914566</xdr:colOff>
      <xdr:row>0</xdr:row>
      <xdr:rowOff>1011621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5</xdr:col>
      <xdr:colOff>71938</xdr:colOff>
      <xdr:row>56</xdr:row>
      <xdr:rowOff>29307</xdr:rowOff>
    </xdr:from>
    <xdr:ext cx="908550" cy="1041224"/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5</xdr:col>
      <xdr:colOff>85299</xdr:colOff>
      <xdr:row>70</xdr:row>
      <xdr:rowOff>45027</xdr:rowOff>
    </xdr:from>
    <xdr:ext cx="881829" cy="1013365"/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84</xdr:row>
      <xdr:rowOff>29307</xdr:rowOff>
    </xdr:from>
    <xdr:ext cx="908551" cy="1047643"/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98</xdr:row>
      <xdr:rowOff>29307</xdr:rowOff>
    </xdr:from>
    <xdr:ext cx="908551" cy="1042529"/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112</xdr:row>
      <xdr:rowOff>55143</xdr:rowOff>
    </xdr:from>
    <xdr:ext cx="908550" cy="1044793"/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119</xdr:row>
      <xdr:rowOff>29306</xdr:rowOff>
    </xdr:from>
    <xdr:ext cx="908550" cy="1053701"/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126</xdr:row>
      <xdr:rowOff>29673</xdr:rowOff>
    </xdr:from>
    <xdr:ext cx="908550" cy="1032608"/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133</xdr:row>
      <xdr:rowOff>29307</xdr:rowOff>
    </xdr:from>
    <xdr:ext cx="908550" cy="1033725"/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154</xdr:row>
      <xdr:rowOff>29307</xdr:rowOff>
    </xdr:from>
    <xdr:ext cx="908550" cy="1030684"/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161</xdr:row>
      <xdr:rowOff>29307</xdr:rowOff>
    </xdr:from>
    <xdr:ext cx="908550" cy="1031646"/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140</xdr:row>
      <xdr:rowOff>29308</xdr:rowOff>
    </xdr:from>
    <xdr:ext cx="908549" cy="1041000"/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5</xdr:col>
      <xdr:colOff>71940</xdr:colOff>
      <xdr:row>147</xdr:row>
      <xdr:rowOff>29308</xdr:rowOff>
    </xdr:from>
    <xdr:ext cx="908549" cy="1053944"/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168</xdr:row>
      <xdr:rowOff>29307</xdr:rowOff>
    </xdr:from>
    <xdr:ext cx="908548" cy="1041068"/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5</xdr:col>
      <xdr:colOff>75833</xdr:colOff>
      <xdr:row>182</xdr:row>
      <xdr:rowOff>29307</xdr:rowOff>
    </xdr:from>
    <xdr:ext cx="907771" cy="1033396"/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175</xdr:row>
      <xdr:rowOff>29307</xdr:rowOff>
    </xdr:from>
    <xdr:ext cx="908549" cy="1041270"/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189</xdr:row>
      <xdr:rowOff>29307</xdr:rowOff>
    </xdr:from>
    <xdr:ext cx="908549" cy="1034523"/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21</xdr:row>
      <xdr:rowOff>115070</xdr:rowOff>
    </xdr:from>
    <xdr:ext cx="816816" cy="935964"/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5</xdr:col>
      <xdr:colOff>65370</xdr:colOff>
      <xdr:row>7</xdr:row>
      <xdr:rowOff>81856</xdr:rowOff>
    </xdr:from>
    <xdr:to>
      <xdr:col>5</xdr:col>
      <xdr:colOff>924078</xdr:colOff>
      <xdr:row>7</xdr:row>
      <xdr:rowOff>1018189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5</xdr:col>
      <xdr:colOff>39094</xdr:colOff>
      <xdr:row>35</xdr:row>
      <xdr:rowOff>49014</xdr:rowOff>
    </xdr:from>
    <xdr:ext cx="881964" cy="1008589"/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5</xdr:col>
      <xdr:colOff>65369</xdr:colOff>
      <xdr:row>49</xdr:row>
      <xdr:rowOff>105327</xdr:rowOff>
    </xdr:from>
    <xdr:ext cx="800345" cy="932570"/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5</xdr:col>
      <xdr:colOff>91645</xdr:colOff>
      <xdr:row>14</xdr:row>
      <xdr:rowOff>115070</xdr:rowOff>
    </xdr:from>
    <xdr:ext cx="808027" cy="922827"/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5</xdr:col>
      <xdr:colOff>71940</xdr:colOff>
      <xdr:row>28</xdr:row>
      <xdr:rowOff>75289</xdr:rowOff>
    </xdr:from>
    <xdr:ext cx="850706" cy="962608"/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5</xdr:col>
      <xdr:colOff>78507</xdr:colOff>
      <xdr:row>42</xdr:row>
      <xdr:rowOff>113713</xdr:rowOff>
    </xdr:from>
    <xdr:ext cx="766047" cy="884770"/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5</xdr:col>
      <xdr:colOff>65689</xdr:colOff>
      <xdr:row>0</xdr:row>
      <xdr:rowOff>65690</xdr:rowOff>
    </xdr:from>
    <xdr:to>
      <xdr:col>5</xdr:col>
      <xdr:colOff>914566</xdr:colOff>
      <xdr:row>0</xdr:row>
      <xdr:rowOff>1011621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5</xdr:col>
      <xdr:colOff>71938</xdr:colOff>
      <xdr:row>56</xdr:row>
      <xdr:rowOff>29307</xdr:rowOff>
    </xdr:from>
    <xdr:ext cx="908550" cy="1041224"/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5</xdr:col>
      <xdr:colOff>85299</xdr:colOff>
      <xdr:row>70</xdr:row>
      <xdr:rowOff>45027</xdr:rowOff>
    </xdr:from>
    <xdr:ext cx="881829" cy="1013365"/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84</xdr:row>
      <xdr:rowOff>29307</xdr:rowOff>
    </xdr:from>
    <xdr:ext cx="908551" cy="1047643"/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98</xdr:row>
      <xdr:rowOff>29307</xdr:rowOff>
    </xdr:from>
    <xdr:ext cx="908551" cy="1042529"/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112</xdr:row>
      <xdr:rowOff>55143</xdr:rowOff>
    </xdr:from>
    <xdr:ext cx="908550" cy="1044793"/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119</xdr:row>
      <xdr:rowOff>29306</xdr:rowOff>
    </xdr:from>
    <xdr:ext cx="908550" cy="1053701"/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126</xdr:row>
      <xdr:rowOff>29673</xdr:rowOff>
    </xdr:from>
    <xdr:ext cx="908550" cy="1032608"/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133</xdr:row>
      <xdr:rowOff>29307</xdr:rowOff>
    </xdr:from>
    <xdr:ext cx="908550" cy="1033725"/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154</xdr:row>
      <xdr:rowOff>29307</xdr:rowOff>
    </xdr:from>
    <xdr:ext cx="908550" cy="1030684"/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161</xdr:row>
      <xdr:rowOff>29307</xdr:rowOff>
    </xdr:from>
    <xdr:ext cx="908550" cy="1031646"/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140</xdr:row>
      <xdr:rowOff>29308</xdr:rowOff>
    </xdr:from>
    <xdr:ext cx="908549" cy="1041000"/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5</xdr:col>
      <xdr:colOff>71940</xdr:colOff>
      <xdr:row>147</xdr:row>
      <xdr:rowOff>29308</xdr:rowOff>
    </xdr:from>
    <xdr:ext cx="908549" cy="1053944"/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5</xdr:col>
      <xdr:colOff>71938</xdr:colOff>
      <xdr:row>168</xdr:row>
      <xdr:rowOff>29307</xdr:rowOff>
    </xdr:from>
    <xdr:ext cx="908548" cy="1041068"/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5</xdr:col>
      <xdr:colOff>75833</xdr:colOff>
      <xdr:row>182</xdr:row>
      <xdr:rowOff>29307</xdr:rowOff>
    </xdr:from>
    <xdr:ext cx="907771" cy="1033396"/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175</xdr:row>
      <xdr:rowOff>29307</xdr:rowOff>
    </xdr:from>
    <xdr:ext cx="908549" cy="1041270"/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5</xdr:col>
      <xdr:colOff>71939</xdr:colOff>
      <xdr:row>189</xdr:row>
      <xdr:rowOff>29307</xdr:rowOff>
    </xdr:from>
    <xdr:ext cx="908549" cy="1034523"/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21</xdr:row>
      <xdr:rowOff>115070</xdr:rowOff>
    </xdr:from>
    <xdr:ext cx="816816" cy="935964"/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7</xdr:col>
      <xdr:colOff>65370</xdr:colOff>
      <xdr:row>7</xdr:row>
      <xdr:rowOff>81856</xdr:rowOff>
    </xdr:from>
    <xdr:to>
      <xdr:col>7</xdr:col>
      <xdr:colOff>924078</xdr:colOff>
      <xdr:row>7</xdr:row>
      <xdr:rowOff>1018189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7</xdr:col>
      <xdr:colOff>39094</xdr:colOff>
      <xdr:row>35</xdr:row>
      <xdr:rowOff>49014</xdr:rowOff>
    </xdr:from>
    <xdr:ext cx="881964" cy="1008589"/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7</xdr:col>
      <xdr:colOff>65369</xdr:colOff>
      <xdr:row>49</xdr:row>
      <xdr:rowOff>105327</xdr:rowOff>
    </xdr:from>
    <xdr:ext cx="800345" cy="932570"/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7</xdr:col>
      <xdr:colOff>91645</xdr:colOff>
      <xdr:row>14</xdr:row>
      <xdr:rowOff>115070</xdr:rowOff>
    </xdr:from>
    <xdr:ext cx="808027" cy="922827"/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7</xdr:col>
      <xdr:colOff>71940</xdr:colOff>
      <xdr:row>28</xdr:row>
      <xdr:rowOff>75289</xdr:rowOff>
    </xdr:from>
    <xdr:ext cx="850706" cy="962608"/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7</xdr:col>
      <xdr:colOff>78507</xdr:colOff>
      <xdr:row>42</xdr:row>
      <xdr:rowOff>113713</xdr:rowOff>
    </xdr:from>
    <xdr:ext cx="766047" cy="884770"/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7</xdr:col>
      <xdr:colOff>65689</xdr:colOff>
      <xdr:row>0</xdr:row>
      <xdr:rowOff>65690</xdr:rowOff>
    </xdr:from>
    <xdr:to>
      <xdr:col>7</xdr:col>
      <xdr:colOff>914566</xdr:colOff>
      <xdr:row>0</xdr:row>
      <xdr:rowOff>1011621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7</xdr:col>
      <xdr:colOff>71938</xdr:colOff>
      <xdr:row>56</xdr:row>
      <xdr:rowOff>29307</xdr:rowOff>
    </xdr:from>
    <xdr:ext cx="908550" cy="1041224"/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7</xdr:col>
      <xdr:colOff>85299</xdr:colOff>
      <xdr:row>70</xdr:row>
      <xdr:rowOff>45027</xdr:rowOff>
    </xdr:from>
    <xdr:ext cx="881829" cy="1013365"/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84</xdr:row>
      <xdr:rowOff>29307</xdr:rowOff>
    </xdr:from>
    <xdr:ext cx="908551" cy="1047643"/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98</xdr:row>
      <xdr:rowOff>29307</xdr:rowOff>
    </xdr:from>
    <xdr:ext cx="908551" cy="1042529"/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112</xdr:row>
      <xdr:rowOff>55143</xdr:rowOff>
    </xdr:from>
    <xdr:ext cx="908550" cy="1044793"/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119</xdr:row>
      <xdr:rowOff>29306</xdr:rowOff>
    </xdr:from>
    <xdr:ext cx="908550" cy="1053701"/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126</xdr:row>
      <xdr:rowOff>29673</xdr:rowOff>
    </xdr:from>
    <xdr:ext cx="908550" cy="1032608"/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133</xdr:row>
      <xdr:rowOff>29307</xdr:rowOff>
    </xdr:from>
    <xdr:ext cx="908550" cy="1033725"/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154</xdr:row>
      <xdr:rowOff>29307</xdr:rowOff>
    </xdr:from>
    <xdr:ext cx="908550" cy="1030684"/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161</xdr:row>
      <xdr:rowOff>29307</xdr:rowOff>
    </xdr:from>
    <xdr:ext cx="908550" cy="1031646"/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140</xdr:row>
      <xdr:rowOff>29308</xdr:rowOff>
    </xdr:from>
    <xdr:ext cx="908549" cy="1041000"/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7</xdr:col>
      <xdr:colOff>71940</xdr:colOff>
      <xdr:row>147</xdr:row>
      <xdr:rowOff>29308</xdr:rowOff>
    </xdr:from>
    <xdr:ext cx="908549" cy="1053944"/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7</xdr:col>
      <xdr:colOff>71938</xdr:colOff>
      <xdr:row>168</xdr:row>
      <xdr:rowOff>29307</xdr:rowOff>
    </xdr:from>
    <xdr:ext cx="908548" cy="1041068"/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7</xdr:col>
      <xdr:colOff>75833</xdr:colOff>
      <xdr:row>182</xdr:row>
      <xdr:rowOff>29307</xdr:rowOff>
    </xdr:from>
    <xdr:ext cx="907771" cy="1033396"/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175</xdr:row>
      <xdr:rowOff>29307</xdr:rowOff>
    </xdr:from>
    <xdr:ext cx="908549" cy="1041270"/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7</xdr:col>
      <xdr:colOff>71939</xdr:colOff>
      <xdr:row>189</xdr:row>
      <xdr:rowOff>29307</xdr:rowOff>
    </xdr:from>
    <xdr:ext cx="908549" cy="1034523"/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21</xdr:row>
      <xdr:rowOff>115070</xdr:rowOff>
    </xdr:from>
    <xdr:ext cx="816816" cy="935964"/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9</xdr:col>
      <xdr:colOff>65370</xdr:colOff>
      <xdr:row>7</xdr:row>
      <xdr:rowOff>81856</xdr:rowOff>
    </xdr:from>
    <xdr:to>
      <xdr:col>9</xdr:col>
      <xdr:colOff>924078</xdr:colOff>
      <xdr:row>7</xdr:row>
      <xdr:rowOff>1018189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9</xdr:col>
      <xdr:colOff>39094</xdr:colOff>
      <xdr:row>35</xdr:row>
      <xdr:rowOff>49014</xdr:rowOff>
    </xdr:from>
    <xdr:ext cx="881964" cy="1008589"/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9</xdr:col>
      <xdr:colOff>65369</xdr:colOff>
      <xdr:row>49</xdr:row>
      <xdr:rowOff>105327</xdr:rowOff>
    </xdr:from>
    <xdr:ext cx="800345" cy="932570"/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9</xdr:col>
      <xdr:colOff>91645</xdr:colOff>
      <xdr:row>14</xdr:row>
      <xdr:rowOff>115070</xdr:rowOff>
    </xdr:from>
    <xdr:ext cx="808027" cy="922827"/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9</xdr:col>
      <xdr:colOff>71940</xdr:colOff>
      <xdr:row>28</xdr:row>
      <xdr:rowOff>75289</xdr:rowOff>
    </xdr:from>
    <xdr:ext cx="850706" cy="962608"/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9</xdr:col>
      <xdr:colOff>78507</xdr:colOff>
      <xdr:row>42</xdr:row>
      <xdr:rowOff>113713</xdr:rowOff>
    </xdr:from>
    <xdr:ext cx="766047" cy="884770"/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9</xdr:col>
      <xdr:colOff>65689</xdr:colOff>
      <xdr:row>0</xdr:row>
      <xdr:rowOff>65690</xdr:rowOff>
    </xdr:from>
    <xdr:to>
      <xdr:col>9</xdr:col>
      <xdr:colOff>914566</xdr:colOff>
      <xdr:row>0</xdr:row>
      <xdr:rowOff>1011621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9</xdr:col>
      <xdr:colOff>71938</xdr:colOff>
      <xdr:row>56</xdr:row>
      <xdr:rowOff>29307</xdr:rowOff>
    </xdr:from>
    <xdr:ext cx="908550" cy="1041224"/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9</xdr:col>
      <xdr:colOff>85299</xdr:colOff>
      <xdr:row>70</xdr:row>
      <xdr:rowOff>45027</xdr:rowOff>
    </xdr:from>
    <xdr:ext cx="881829" cy="1013365"/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84</xdr:row>
      <xdr:rowOff>29307</xdr:rowOff>
    </xdr:from>
    <xdr:ext cx="908551" cy="1047643"/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98</xdr:row>
      <xdr:rowOff>29307</xdr:rowOff>
    </xdr:from>
    <xdr:ext cx="908551" cy="1042529"/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112</xdr:row>
      <xdr:rowOff>55143</xdr:rowOff>
    </xdr:from>
    <xdr:ext cx="908550" cy="1044793"/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119</xdr:row>
      <xdr:rowOff>29306</xdr:rowOff>
    </xdr:from>
    <xdr:ext cx="908550" cy="1053701"/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126</xdr:row>
      <xdr:rowOff>29673</xdr:rowOff>
    </xdr:from>
    <xdr:ext cx="908550" cy="1032608"/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133</xdr:row>
      <xdr:rowOff>29307</xdr:rowOff>
    </xdr:from>
    <xdr:ext cx="908550" cy="1033725"/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154</xdr:row>
      <xdr:rowOff>29307</xdr:rowOff>
    </xdr:from>
    <xdr:ext cx="908550" cy="1030684"/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161</xdr:row>
      <xdr:rowOff>29307</xdr:rowOff>
    </xdr:from>
    <xdr:ext cx="908550" cy="1031646"/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140</xdr:row>
      <xdr:rowOff>29308</xdr:rowOff>
    </xdr:from>
    <xdr:ext cx="908549" cy="1041000"/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9</xdr:col>
      <xdr:colOff>71940</xdr:colOff>
      <xdr:row>147</xdr:row>
      <xdr:rowOff>29308</xdr:rowOff>
    </xdr:from>
    <xdr:ext cx="908549" cy="1053944"/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9</xdr:col>
      <xdr:colOff>71938</xdr:colOff>
      <xdr:row>168</xdr:row>
      <xdr:rowOff>29307</xdr:rowOff>
    </xdr:from>
    <xdr:ext cx="908548" cy="1041068"/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9</xdr:col>
      <xdr:colOff>75833</xdr:colOff>
      <xdr:row>182</xdr:row>
      <xdr:rowOff>29307</xdr:rowOff>
    </xdr:from>
    <xdr:ext cx="907771" cy="1033396"/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175</xdr:row>
      <xdr:rowOff>29307</xdr:rowOff>
    </xdr:from>
    <xdr:ext cx="908549" cy="1041270"/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9</xdr:col>
      <xdr:colOff>71939</xdr:colOff>
      <xdr:row>189</xdr:row>
      <xdr:rowOff>29307</xdr:rowOff>
    </xdr:from>
    <xdr:ext cx="908549" cy="1034523"/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21</xdr:row>
      <xdr:rowOff>115070</xdr:rowOff>
    </xdr:from>
    <xdr:ext cx="816816" cy="935964"/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11</xdr:col>
      <xdr:colOff>65370</xdr:colOff>
      <xdr:row>7</xdr:row>
      <xdr:rowOff>81856</xdr:rowOff>
    </xdr:from>
    <xdr:to>
      <xdr:col>11</xdr:col>
      <xdr:colOff>924078</xdr:colOff>
      <xdr:row>7</xdr:row>
      <xdr:rowOff>1018189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11</xdr:col>
      <xdr:colOff>39094</xdr:colOff>
      <xdr:row>35</xdr:row>
      <xdr:rowOff>49014</xdr:rowOff>
    </xdr:from>
    <xdr:ext cx="881964" cy="1008589"/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11</xdr:col>
      <xdr:colOff>65369</xdr:colOff>
      <xdr:row>49</xdr:row>
      <xdr:rowOff>105327</xdr:rowOff>
    </xdr:from>
    <xdr:ext cx="800345" cy="932570"/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11</xdr:col>
      <xdr:colOff>91645</xdr:colOff>
      <xdr:row>14</xdr:row>
      <xdr:rowOff>115070</xdr:rowOff>
    </xdr:from>
    <xdr:ext cx="808027" cy="922827"/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11</xdr:col>
      <xdr:colOff>71940</xdr:colOff>
      <xdr:row>28</xdr:row>
      <xdr:rowOff>75289</xdr:rowOff>
    </xdr:from>
    <xdr:ext cx="850706" cy="962608"/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11</xdr:col>
      <xdr:colOff>78507</xdr:colOff>
      <xdr:row>42</xdr:row>
      <xdr:rowOff>113713</xdr:rowOff>
    </xdr:from>
    <xdr:ext cx="766047" cy="884770"/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11</xdr:col>
      <xdr:colOff>65689</xdr:colOff>
      <xdr:row>0</xdr:row>
      <xdr:rowOff>65690</xdr:rowOff>
    </xdr:from>
    <xdr:to>
      <xdr:col>11</xdr:col>
      <xdr:colOff>914566</xdr:colOff>
      <xdr:row>0</xdr:row>
      <xdr:rowOff>1011621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11</xdr:col>
      <xdr:colOff>71938</xdr:colOff>
      <xdr:row>56</xdr:row>
      <xdr:rowOff>29307</xdr:rowOff>
    </xdr:from>
    <xdr:ext cx="908550" cy="1041224"/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11</xdr:col>
      <xdr:colOff>85299</xdr:colOff>
      <xdr:row>70</xdr:row>
      <xdr:rowOff>45027</xdr:rowOff>
    </xdr:from>
    <xdr:ext cx="881829" cy="1013365"/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6526" y="62702209"/>
          <a:ext cx="881829" cy="1013365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84</xdr:row>
      <xdr:rowOff>29307</xdr:rowOff>
    </xdr:from>
    <xdr:ext cx="908551" cy="1047643"/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98</xdr:row>
      <xdr:rowOff>29307</xdr:rowOff>
    </xdr:from>
    <xdr:ext cx="908551" cy="1042529"/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112</xdr:row>
      <xdr:rowOff>55143</xdr:rowOff>
    </xdr:from>
    <xdr:ext cx="908550" cy="1044793"/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119</xdr:row>
      <xdr:rowOff>29306</xdr:rowOff>
    </xdr:from>
    <xdr:ext cx="908550" cy="1053701"/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126</xdr:row>
      <xdr:rowOff>29673</xdr:rowOff>
    </xdr:from>
    <xdr:ext cx="908550" cy="1032608"/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133</xdr:row>
      <xdr:rowOff>29307</xdr:rowOff>
    </xdr:from>
    <xdr:ext cx="908550" cy="1033725"/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154</xdr:row>
      <xdr:rowOff>29307</xdr:rowOff>
    </xdr:from>
    <xdr:ext cx="908550" cy="1030684"/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161</xdr:row>
      <xdr:rowOff>29307</xdr:rowOff>
    </xdr:from>
    <xdr:ext cx="908550" cy="1031646"/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140</xdr:row>
      <xdr:rowOff>29308</xdr:rowOff>
    </xdr:from>
    <xdr:ext cx="908549" cy="1041000"/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11</xdr:col>
      <xdr:colOff>71940</xdr:colOff>
      <xdr:row>147</xdr:row>
      <xdr:rowOff>29308</xdr:rowOff>
    </xdr:from>
    <xdr:ext cx="908549" cy="1053944"/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11</xdr:col>
      <xdr:colOff>71938</xdr:colOff>
      <xdr:row>168</xdr:row>
      <xdr:rowOff>29307</xdr:rowOff>
    </xdr:from>
    <xdr:ext cx="908548" cy="1041068"/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11</xdr:col>
      <xdr:colOff>75833</xdr:colOff>
      <xdr:row>182</xdr:row>
      <xdr:rowOff>29307</xdr:rowOff>
    </xdr:from>
    <xdr:ext cx="907771" cy="1033396"/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175</xdr:row>
      <xdr:rowOff>29307</xdr:rowOff>
    </xdr:from>
    <xdr:ext cx="908549" cy="1041270"/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11</xdr:col>
      <xdr:colOff>71939</xdr:colOff>
      <xdr:row>189</xdr:row>
      <xdr:rowOff>29307</xdr:rowOff>
    </xdr:from>
    <xdr:ext cx="908549" cy="1034523"/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21</xdr:row>
      <xdr:rowOff>115070</xdr:rowOff>
    </xdr:from>
    <xdr:ext cx="816816" cy="935964"/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66" y="18489661"/>
          <a:ext cx="816816" cy="935964"/>
        </a:xfrm>
        <a:prstGeom prst="rect">
          <a:avLst/>
        </a:prstGeom>
      </xdr:spPr>
    </xdr:pic>
    <xdr:clientData/>
  </xdr:oneCellAnchor>
  <xdr:twoCellAnchor>
    <xdr:from>
      <xdr:col>13</xdr:col>
      <xdr:colOff>65370</xdr:colOff>
      <xdr:row>7</xdr:row>
      <xdr:rowOff>81856</xdr:rowOff>
    </xdr:from>
    <xdr:to>
      <xdr:col>13</xdr:col>
      <xdr:colOff>924078</xdr:colOff>
      <xdr:row>7</xdr:row>
      <xdr:rowOff>1018189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7" y="6212492"/>
          <a:ext cx="858708" cy="936333"/>
        </a:xfrm>
        <a:prstGeom prst="rect">
          <a:avLst/>
        </a:prstGeom>
      </xdr:spPr>
    </xdr:pic>
    <xdr:clientData/>
  </xdr:twoCellAnchor>
  <xdr:oneCellAnchor>
    <xdr:from>
      <xdr:col>13</xdr:col>
      <xdr:colOff>39094</xdr:colOff>
      <xdr:row>35</xdr:row>
      <xdr:rowOff>49014</xdr:rowOff>
    </xdr:from>
    <xdr:ext cx="881964" cy="1008589"/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21" y="30684878"/>
          <a:ext cx="881964" cy="1008589"/>
        </a:xfrm>
        <a:prstGeom prst="rect">
          <a:avLst/>
        </a:prstGeom>
      </xdr:spPr>
    </xdr:pic>
    <xdr:clientData/>
  </xdr:oneCellAnchor>
  <xdr:oneCellAnchor>
    <xdr:from>
      <xdr:col>13</xdr:col>
      <xdr:colOff>65369</xdr:colOff>
      <xdr:row>49</xdr:row>
      <xdr:rowOff>105327</xdr:rowOff>
    </xdr:from>
    <xdr:ext cx="800345" cy="932570"/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596" y="42915872"/>
          <a:ext cx="800345" cy="932570"/>
        </a:xfrm>
        <a:prstGeom prst="rect">
          <a:avLst/>
        </a:prstGeom>
      </xdr:spPr>
    </xdr:pic>
    <xdr:clientData/>
  </xdr:oneCellAnchor>
  <xdr:oneCellAnchor>
    <xdr:from>
      <xdr:col>13</xdr:col>
      <xdr:colOff>91645</xdr:colOff>
      <xdr:row>14</xdr:row>
      <xdr:rowOff>115070</xdr:rowOff>
    </xdr:from>
    <xdr:ext cx="808027" cy="922827"/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872" y="12376343"/>
          <a:ext cx="808027" cy="922827"/>
        </a:xfrm>
        <a:prstGeom prst="rect">
          <a:avLst/>
        </a:prstGeom>
      </xdr:spPr>
    </xdr:pic>
    <xdr:clientData/>
  </xdr:oneCellAnchor>
  <xdr:oneCellAnchor>
    <xdr:from>
      <xdr:col>13</xdr:col>
      <xdr:colOff>71940</xdr:colOff>
      <xdr:row>28</xdr:row>
      <xdr:rowOff>75289</xdr:rowOff>
    </xdr:from>
    <xdr:ext cx="850706" cy="962608"/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167" y="24580516"/>
          <a:ext cx="850706" cy="962608"/>
        </a:xfrm>
        <a:prstGeom prst="rect">
          <a:avLst/>
        </a:prstGeom>
      </xdr:spPr>
    </xdr:pic>
    <xdr:clientData/>
  </xdr:oneCellAnchor>
  <xdr:oneCellAnchor>
    <xdr:from>
      <xdr:col>13</xdr:col>
      <xdr:colOff>78507</xdr:colOff>
      <xdr:row>42</xdr:row>
      <xdr:rowOff>113713</xdr:rowOff>
    </xdr:from>
    <xdr:ext cx="766047" cy="884770"/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9734" y="36828258"/>
          <a:ext cx="766047" cy="884770"/>
        </a:xfrm>
        <a:prstGeom prst="rect">
          <a:avLst/>
        </a:prstGeom>
      </xdr:spPr>
    </xdr:pic>
    <xdr:clientData/>
  </xdr:oneCellAnchor>
  <xdr:twoCellAnchor>
    <xdr:from>
      <xdr:col>13</xdr:col>
      <xdr:colOff>65689</xdr:colOff>
      <xdr:row>0</xdr:row>
      <xdr:rowOff>65690</xdr:rowOff>
    </xdr:from>
    <xdr:to>
      <xdr:col>13</xdr:col>
      <xdr:colOff>914566</xdr:colOff>
      <xdr:row>0</xdr:row>
      <xdr:rowOff>1011621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916" y="65690"/>
          <a:ext cx="848877" cy="945931"/>
        </a:xfrm>
        <a:prstGeom prst="rect">
          <a:avLst/>
        </a:prstGeom>
      </xdr:spPr>
    </xdr:pic>
    <xdr:clientData/>
  </xdr:twoCellAnchor>
  <xdr:oneCellAnchor>
    <xdr:from>
      <xdr:col>13</xdr:col>
      <xdr:colOff>71938</xdr:colOff>
      <xdr:row>56</xdr:row>
      <xdr:rowOff>29307</xdr:rowOff>
    </xdr:from>
    <xdr:ext cx="908550" cy="1041224"/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165" y="48935852"/>
          <a:ext cx="908550" cy="1041224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84</xdr:row>
      <xdr:rowOff>29307</xdr:rowOff>
    </xdr:from>
    <xdr:ext cx="908551" cy="1047643"/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3165" y="76437125"/>
          <a:ext cx="908551" cy="1047643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98</xdr:row>
      <xdr:rowOff>29307</xdr:rowOff>
    </xdr:from>
    <xdr:ext cx="908551" cy="1042529"/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3166" y="91711762"/>
          <a:ext cx="908551" cy="1042529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112</xdr:row>
      <xdr:rowOff>55143</xdr:rowOff>
    </xdr:from>
    <xdr:ext cx="908550" cy="1044793"/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3165" y="107012234"/>
          <a:ext cx="908550" cy="1044793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119</xdr:row>
      <xdr:rowOff>29306</xdr:rowOff>
    </xdr:from>
    <xdr:ext cx="908550" cy="1053701"/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3165" y="114623715"/>
          <a:ext cx="908550" cy="1053701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126</xdr:row>
      <xdr:rowOff>29673</xdr:rowOff>
    </xdr:from>
    <xdr:ext cx="908550" cy="1032608"/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3165" y="122261400"/>
          <a:ext cx="908550" cy="1032608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133</xdr:row>
      <xdr:rowOff>29307</xdr:rowOff>
    </xdr:from>
    <xdr:ext cx="908550" cy="1033725"/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3165" y="129898352"/>
          <a:ext cx="908550" cy="1033725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154</xdr:row>
      <xdr:rowOff>29307</xdr:rowOff>
    </xdr:from>
    <xdr:ext cx="908550" cy="1030684"/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3165" y="152810307"/>
          <a:ext cx="908550" cy="1030684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161</xdr:row>
      <xdr:rowOff>29307</xdr:rowOff>
    </xdr:from>
    <xdr:ext cx="908550" cy="1031646"/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3166" y="160447625"/>
          <a:ext cx="908550" cy="1031646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140</xdr:row>
      <xdr:rowOff>29308</xdr:rowOff>
    </xdr:from>
    <xdr:ext cx="908549" cy="1041000"/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3166" y="137535672"/>
          <a:ext cx="908549" cy="1041000"/>
        </a:xfrm>
        <a:prstGeom prst="rect">
          <a:avLst/>
        </a:prstGeom>
      </xdr:spPr>
    </xdr:pic>
    <xdr:clientData/>
  </xdr:oneCellAnchor>
  <xdr:oneCellAnchor>
    <xdr:from>
      <xdr:col>13</xdr:col>
      <xdr:colOff>71940</xdr:colOff>
      <xdr:row>147</xdr:row>
      <xdr:rowOff>29308</xdr:rowOff>
    </xdr:from>
    <xdr:ext cx="908549" cy="1053944"/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167" y="145172990"/>
          <a:ext cx="908549" cy="1053944"/>
        </a:xfrm>
        <a:prstGeom prst="rect">
          <a:avLst/>
        </a:prstGeom>
      </xdr:spPr>
    </xdr:pic>
    <xdr:clientData/>
  </xdr:oneCellAnchor>
  <xdr:oneCellAnchor>
    <xdr:from>
      <xdr:col>13</xdr:col>
      <xdr:colOff>71938</xdr:colOff>
      <xdr:row>168</xdr:row>
      <xdr:rowOff>29307</xdr:rowOff>
    </xdr:from>
    <xdr:ext cx="908548" cy="1041068"/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3165" y="169175989"/>
          <a:ext cx="908548" cy="1041068"/>
        </a:xfrm>
        <a:prstGeom prst="rect">
          <a:avLst/>
        </a:prstGeom>
      </xdr:spPr>
    </xdr:pic>
    <xdr:clientData/>
  </xdr:oneCellAnchor>
  <xdr:oneCellAnchor>
    <xdr:from>
      <xdr:col>13</xdr:col>
      <xdr:colOff>75833</xdr:colOff>
      <xdr:row>182</xdr:row>
      <xdr:rowOff>29307</xdr:rowOff>
    </xdr:from>
    <xdr:ext cx="907771" cy="1033396"/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060" y="184450625"/>
          <a:ext cx="907771" cy="1033396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175</xdr:row>
      <xdr:rowOff>29307</xdr:rowOff>
    </xdr:from>
    <xdr:ext cx="908549" cy="1041270"/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166" y="176813307"/>
          <a:ext cx="908549" cy="1041270"/>
        </a:xfrm>
        <a:prstGeom prst="rect">
          <a:avLst/>
        </a:prstGeom>
      </xdr:spPr>
    </xdr:pic>
    <xdr:clientData/>
  </xdr:oneCellAnchor>
  <xdr:oneCellAnchor>
    <xdr:from>
      <xdr:col>13</xdr:col>
      <xdr:colOff>71939</xdr:colOff>
      <xdr:row>189</xdr:row>
      <xdr:rowOff>29307</xdr:rowOff>
    </xdr:from>
    <xdr:ext cx="908549" cy="1034523"/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3166" y="192087943"/>
          <a:ext cx="908549" cy="1034523"/>
        </a:xfrm>
        <a:prstGeom prst="rect">
          <a:avLst/>
        </a:prstGeom>
      </xdr:spPr>
    </xdr:pic>
    <xdr:clientData/>
  </xdr:one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63</xdr:row>
      <xdr:rowOff>304800</xdr:rowOff>
    </xdr:to>
    <xdr:sp macro="" textlink="">
      <xdr:nvSpPr>
        <xdr:cNvPr id="1026" name="AutoShape 2" descr="data:image/png;base64,iVBORw0KGgoAAAANSUhEUgAAAlgAAAJYCAYAAAC+ZpjcAAAAAXNSR0IArs4c6QAAIABJREFUeF7tneFVHcfStYcIpBsBKAJQBNdEAorAKAJLEYgbgSASmwgEEQgiMIqAb7U++7WPD1b3TD09p07zzFr6Nd013Xvvqt5TcyQdPD09PU1eIiACIiACIiACIiACGAIHGiwMSwOJgAiIgAiIgAiIwHcENFgKQQREQAREQAREQARgBDRYMKCGEwEREAEREAEREAENlhoQAREQAREQAREQARgBDRYMqOFEQAREQAREQAREQIOlBkRABERABERABEQARkCDBQNqOBEQAREQAREQARHQYKkBERABERABERABEYAR0GDBgBpOBERABERABERABDRYakAEREAEREAEREAEYAQ0WDCghhMBERABERABERABDZYaEAEREAEREAEREAEYAQ0WDKjhREAEREAEREAERECDpQZEQAREQAREQAREAEZAgwUDajgREAEREAEREAER0GCpAREQAREQAREQARGAEUAM1sXFxXR3dxda2tPT03RwcGCMPxAg8AiB+bfJnz59mk5OTqhwO41zdXU1XV9fh9ZwfHw8XV5ehmJQk09PT8OhCH6tAZs0ZNLISNycnZ1N5+fnYc1HA9ze3k7v37+PhkHmE2eFMfrkL2Kwfvrpp+nm5gYRi0HyIfDrr79OheMRrg8fPkwfP34MbeW///3v9Ntvv4ViUJOjLyVlHQS/1oBNRjNpZCRufvnll6nk8K6vkv/Ey82u9+Hzn0eAyl8NlgqrIkAcwNWHrDRAg7UNNMHvSIc4IUWqQBNrGYkbDRahCGPUEKDyV4NVQ9r7SIcjC4waLA3WGlqkCjSxVg0WgeJmDDtYPKaZIlL5q8HKxGrStRAdjixb02BpsNbQIlWgibVqsAgUNVg8inkjUvmrwcrLcZqVabA2qaCSjyDY32ARKPIxMmlEg8XzaweLxzRTRCp/NViZWE26Fg2WBqsmzZEO8dpeW+5TBbrlWbUxI3Hjb7BqbHufQIDKXw0WwcbgMTRYGqyaxEc6xGt7bblPFeiWZ9XGjMSNBqvGtvcJBKj81WARbAweQ4OlwapJfKRDvLbXlvtUgW55Vm3MSNxosGpse59AgMpfDRbBxuAxNFgarJrERzrEa3ttuU8V6JZn1caMxI0Gq8a29wkEqPzVYBFsDB5Dg6XBqkl8pEO8tteW+1SBbnlWbcxI3Giwamx7n0CAyl8NFsHG4DE0WBqsmsRHOsRre225TxXolmfVxozEjQarxrb3CQSo/NVgEWwMHkODpcGqSXykQ7y215b7VIFueVZtzEjcaLBqbHufQIDKXw0WwcbgMTRYGqyaxEc6xGt7bblPFeiWZ9XGjMSNBqvGtvcJBKj81WARbAweQ4OlwapJfKRDvLbXlvtUgW55Vm3MSNxosGpse59AgMpfDRbBxuAxNFgarJrERzrEa3ttuU8V6JZn1caMxI0Gq8a29wkEqPzVYBFsDB5Dg6XBqkl8pEO8tteW+1SBbnlWbcxI3Giwamx7n0CAyt80BuvTp0/TyckJgY0x/obA6elpGA/CYF1cXEx3d3ehtTw9PU3R/3vv69ev08PDQ2gdVPKFFvHH5PJ/okWvknevX78OhSEO8bOzs+n8/Dy0DmLy7e3t9P79+1AoSiNE/n758mX69u1baD9Efb66upqur69D6zg8PJzevHkTinF8fDxdXl6GYlD/F2GprV4sApnyN43BIg5xlqYxokUNSUGB4IY4gLMwQh2eWfZDrIPgd6TuBKURIn8Jfoka8OHDh+njx4/EckIxCG4og1VeGr1YBAhuCI2UXWmwWG7TRSMKNFFciQM4C7hU8mXZD7EOgl8N1jYTRP4S/BI1QIO1zYQGi1DnZgwN1jOYEgnMU7X/EYkCTXBDHMBZ2NBgbTNB8KvB0mCtkeNE/hKHeNmrBotnnOCG0IgdLJ7bdBE1WDwlVPLxK9tdRA3WJvaURoj8JVRBvGTZwbKDRWixFkODZQerphHsPlGgieJKHMAYKMFA1OEZXEaq6QS/drDsYK0haiJ/iUPcDlYftgluCI3YwerDb6qoGiyeDir5+JXtLqIGyw5WTX12sOxg1TRC3Ndg2cEidNQUQ4PVBNOsQRqsbbg0WBqsWhJpsDRYNY0Q9zVYGixCR00xNFhNMM0apMHSYNUEQ2mEyN/aWlvuEz8T0GBpsFq0Fh2jwdJgRTXUPJ8o0ERxJToczZvuPJA6PDsvc9XwBL/+BmubMiJ/CSEQNUCDpcEitFiLocHSYNU0gt0nCjRRXIkDGAMlGEiDZQerJiFKI0T+1tbacp+oARosDVaL1qJjNFgarKiGmucTBZoorhqsZsr2ciDBrx0sO1hriJ8wv8QhXvbqv4PFM05wQ2ik7Mx/yZ3nN1VEDRZPB5V8/Mp2F1GDtYk9pREifwlVEC9ZdrDsYBFarMXQYNnBqmkEu08UaKK4EgcwBkowEHV4BpeRajrBrx0sO1hriJrIX+IQt4PVh22CG0IjdrD68JsqqgaLp4NKPn5lu4uowbKDVVOfHSw7WDWNEPc1WHawCB01xdBgNcE0a5AGaxsuDZYGq5ZEGiwNVk0jxH0NlgaL0FFTDA1WE0yzBmmwNFg1wVAaIfK3ttaW+8TPBDRYGqwWrUXHaLA6GawC7M3NTYif8rc6okWNiHF4eDidn5+H9lImR/dSYhDFlehwlEOrxNn1dXR0hHCz632Qz7+6upru7+9DIQu3UX6JGvD169fp+vo6tBfKYBVTkuWK1pJSR6L1mcCC4IY4xMteiL9FWHLv4eEhBA1xZhExiBpPcENo5Pv5+wQwTByexCGe5Q0ppPQ/JmMEHxyEl0NwQ2gky4+gw4AaoBsCWWoAlb/dgJoZmMjfmY/sNpzghjjEKYM1EjdEjSe4ITSiweqWwvHAGMEarDgZRtgbBDRYfaga6RAnaitxiGuwtrWqwXomf4nkI7okWYorUeKIIvDdQWuwCDqMsScIZKkBVP5mgZ2o8Vn2QnCjwerDpgZLg9VHWf+IShQBDdYqVPmQRAhosPqQocHaxFWD1UdnGiwNVh9labCquBLJV32IA/YaAQ1WH/o0WBqsPsrajErUeML8Yg0Of+S+hmzmPwMj2E+E88F3xt4ioMHqQ50GS4PVR1karCquRPL5G6xNmDVY27Ij3m6qYnbAXiOgwepDH1Hj+6xsflSithJdkrJy4C/xf/+nTTL88xfzmehT4wluCI2U3fnPNBCq6BADI9gOVgd2DJkVAQ1WH2ZGOsSJ2koc4hosDVZTthLJZwfLDlZNbHawagh5X4PVRwNEje+zsvlRNVjzMVtrBlHjCfNLaMQO1lqqWfAcjGA7WAvQd8q+IqDB6sOcBmsTV+IQt4NlB6spW4nks4NlB6smNuLtpvYM7+83AhqsPvwRNb7PyuZHJV5eNVjzcW+ZQdR4ghtCI3awWhjf0RiMYDtYO2LQx+4CAQ1WH9Q1WHaw+ihrM6oG6xmUieSzg2UHq5bARPLVnuH9/UZAg9WHP6LG91nZ/KjEyyvRJfEToZ8Im9RLJJ8GS4NVE5sGq4aQ9zVYfTRA1Pg+K5sfVYM1H7O1ZhA1njC/hEb8RLiWahY8ByPYT4QL0HfKviKgwerDnAbLT4R9lOUnwiquRPLZwbKDVRMa8XZTe4b39xsBDVYf/oga32dl86MSL69El8RPhH4ibFIvkXwarLEN1tXV1XR/f9+kpx8NOgh25EpxLXrd9VWwuL6+Di+jmM7oVbh5eHiIhgnPJ7jJYrAODw+nd+/ehTEhApydnU1HR0ehUESNJ/gNbeKPyQWL8/PzUCgNVgi+f51MvEQT3BAmvGzSf8m9j07CUTGCg4akbIQwv2FApmkiDk8igYm9EEVgtDdgghtCIwS/mWIQ+UsYLILfLLiav32YIDRCcIOdv/5nz32EEo2KEazB2qCCSOAot2U+UQQ0WNtMaLC2MdFgERm7GcP85TEtEYn6THCDnb8arD5CiUbFCNZgabAqYiS6E1G9U8VVg6XBIrRYi0Ec4qO9INUwa7mvwXoGJaJAE29ZIxVXDVaf7gSRwC2FojbGAr2NEMHNSDWgpqHW+0RtJWo8wW/rnnuPM3/7IExohOAGO3/tYPURSjQqRrAdLDtYdrCi6bjX8zVYPH3EIW4Hq89LFsENdv5qsPjkIyJiBGuwNFgaLCIl9zaGBounjjjENVgarCZlEu1jogiM9HlAg+Unwpbke3p6ahn2wzFE/oYXAf3AdaQaQGBaYhC1ldAI8fmHwiQaR4MVRfD5+YRGCG6w89cOVh+hRKNiBNvBsoNlByuajns9X4PF00cc4naw7GA1KZN4uyGKwEhvrxosO1gtyWcHaxOlkWpAC/8tY4jaStR4ojvRst81xmiw+qBMaITgBjt/7WD1EUo0KkawHSw7WHawoum41/M1WDx9xCFuB8sOVpMyibcbogiM9PaqwbKD1ZJ8drDsYNV0QtRWosYT3YnaXte6r8HqgzShEYIb7Py1g9VHKNGoGMF2sOxg2cGKpuNez9dg8fQRh7gdLDtYTcok3m6IImAHa5uu6H+OXCIS3DQJqTKI4Jd4QyL2YoHuU1wJjRD8ZopB5C9R47PkHsGN+Uug2KcGENxgDQ47WH2EEo2KEWwHyw6WHaxoOu71fA0WTx9xiNvB0mA1KZN4uyGKwEhvrxqsbekR/GZ5i7ZA9ymuhEaait4eDSJqK1Hjs+QeQZ35S6DYpwYQ3GDnrx2sPkKJRsUItoNlB8sOVjQd93q+BounjzjE7WBpsJqUSbzdEEVgpLfX0QzW7e3t9O3btyY9/dugz58/T9fX16EY5+fnU/kTuV69ejWdnJxEQkxUgS5xolfB9f7+PhSG4Pfs7Gx69+5daB2ERkIL+GMyoRFiHSXG5eVlWK8XFxdT4ThylXPi9PQ0EmI6PDycjo6OQjGIyVT+jvS3gAlciS4nwQ12/trBImTBx8AITtLBIkw4j/KyiAQ3RBFYtvrtWcTLzUj8ErgSGiHWkSkG8QJMHMAEJlT+arA22SD4Jbih8vdAg0WkGx8DI1iDhZNDcEMUAWpjGiwKyb/iEBrhV7XbiBqsbfw1WBqsalYSb69EkScSuLrZlQZQBTrLP9NAaGQl6KuPIbjRYFVh3usBhEb2GoBnFk/UZ6LDQeBK5a8GS4NV1SNxeGqwNmGmCrQGqyrf2QMIbqgCPXvxz0wgco+oAcRessQgNJJlL9Q6NFh2sGpaIgw0UVup/PUTYY3xHd3HCPYTIc4gwQ1RBKiNabAoJP+KQ2iEX9VuI2qwNFg1BWqwnkGIeHslijyRwDUBrHWfKtB2sHjGCG40WDwvmSISGsm0H2ItRH0mDmBiL1T++onQT4RVPWqwqhDNHkAVaA3WbOirEwhuqAJdXWzDAOLlhqgBDUvdmyGERvZms40L1WDZwapJhTDQRG2l8tdPhDXGd3QfI9hPhDiDBDdEEaA2psGikPwrDqERflW7jajB0mDVFKjBegYh4u2VKPJEAtcEsNZ9qkDbweIZI7jRYPG8ZIpIaCTTfoi1EPWZOICJvVD56yfCTTYIfgluqPy1g0VkW4cYGMF2sHB2CG6IIkBtjHi5IV6yqP1kiENoJMM+yDVosOxg1fSkwbKDVdMIcp8q0HawEDo2ghDcaLB4XjJFJDSSaT/EWjRYGqyajjRYGqyaRpD7VIHWYCF0aLAqMNrB2gSIyl9evbuLqMHSYNXUp8HSYNU0gtynCrQGC6FDg6XBmiUkKn9nPTT5YA2WBqsmUQ2WBqumEeQ+VaA1WAgdGiwN1iwhUfk766HJB2uwNFg1iWqwNFg1jSD3qQKtwULo0GBpsGYJicrfWQ9NPliDpcGqSVSDpcGqaQS5TxVoDRZChwZLgzVLSFT+znpo8sEaLA1WTaIarMQG6+rqaip/RrhOTk6my8vL8FZGMliHh4fT0dFRCJP7+/vp4eEhFIM4PP1bhNsUEPyGiP1j8uPj43R3dxcKdXx8PP3vf/8LxSiTi9ai1+3t7fTt27dQmPLvNUVrSfnnQIruI9f5+flU/uz6ovKX+HewLi4upsLxCBfBL8ENUeMLH0P9O1gjCIzeQ7QolvVk+XeSiLcb4i2aSD6iCFBaGYlfApNM3BAHcJa/4UnkL8EvEYPSCMEvsZ+RYhDcEDVegzWSqv5lLxqsTWA0WNtC0WBtYkIUaKq0EAewBoti4684lEYIfvnd7XdEghsN1n5rYLXVa7A0WDWxabA0WDWNEPftYG2jqMEilMXnrwaL52XIiBosDVZN2BosvkDXMG+9TxzAdrBa0W4fR3RJytMIfttX/TJGEtxosF6GVsK71GBpsGoi0mBpsGoaIe7bwbKDReioFkOD9QxCRJGvAf8S72uwNFg13RO5R3RJshzARIGuYd56n+hwENy0rvdH47LwS+yF0gjBL7GfkWIQ3NjBGkkRHfeiwdJg1eSlwbKDVdMIcV+DZQeL0FEthgbLDlZNI9h9DZYGqyYmDZYGq6YR4r4GS4NF6KgWQ4OlwappBLuvwdJg1cSkwdJg1TRC3NdgabAIHdViaLA0WDWNYPc1WBqsmpg0WBqsmkaI+xosDRaho1oMDZYGq6YR7L4GS4NVE5MGS4NV0whxX4OlwSJ0VIuhwdJg1TSC3ddgabBqYtJgabBqGiHua7A0WISOajE0WBqsmkaw+xosDVZNTBosDVZNI8R9DZYGi9BRLYYGS4NV0wh2X4OlwaqJSYOlwapphLivwdJgETqqxdBgabBqGsHua7A0WDUxabA0WDWNEPc1WBosQke1GBosDVZNI9h9DZYGqyYmDZYGq6YR4r4GS4NF6KgWQ4OlwappBLuvwdJg1cSkwdJg1TRC3NdgabAIHdViaLBqCHk/FQIjHcAfPnyYPn78GMKX+H+qiCJQNkH8X2bE/1VHaITghjjECW4IjRR+fUHyBSlUrJy8CAEsf5+ACk0U6EUoOGkVBIjDk9AIcXgShziRfMQhrsHalj+hEYIbQiMarG1+R8vfVQq4D5mNAJa/GqzZ2L+4CRqsTcqJ5CMOcQ2WBqulGJm/efO3hT/HrI8AUeO/vyBpsNYnb9+eaIHOW6CBBvREdBcJjRDdCTtY29WF4IbQCMENoRHi8KRekPbtLHgp6yU0osF6KWoJ7tMCrcGqSYjQCHF4Eoc4cXhiBfrgoAZ99T7BjQZrE2ZCI1XiHLAzBLD8tYO1Mw735sEWaA1WTayERjRY2yj7I/dNTAiNEIenBqtWEfb7PqERO1j7rYHVVk8cnr4B93kD9hPhJq52sPxEWCuMxOGpwaqhvN/3CY1osPZbA6utXoNlB6smNkIjRHdCg6XBqmmVODw1WDWU9/s+oREN1n5rYLXVE4enHSw7WDXBarD8RLiGRojDU4NVY2q/7xMa0WDttwZWW70Gyw5WTWyERjRYGqyazgiNEIenBqvG1H7fJzSiwdpvDay2euLwtINlB6smWOLw9BOhnwhrOiMOTw1WDeX9vk9oRIO13xpYbfUaLDtYNbERGtFg2cGq6YzQCHF4arBqTO33fUIjGqz91sBqqycOTztYdrBqgiUOTztYdrBqOiMOTw1WDeX9vk9oRIO13xpYbfUaLDtYNbERGtFg2cGq6YzQCHF4arBqTO33fUIjGqz91sBqqycOTztYdrBqgiUOTztYdrBqOiMOTw1WDeX9vk9oRIO13xpYbfUaLDtYNbERGtFg2cGq6YzQCHF4arBqTO33fUIjGqz91sBqqycOTztYdrBqgiUOTztYdrBqOiMOTw1WDeX9vk9oBDNYt7e30+Pj434j6ur/FYGTk5Pp9evXIYRGMlivXr2a3r59G8Lj8PBwOj8/D8Uokwuu0YvghjDhhMEquL558yYEye+//z7d3d2FYhAaKQsoB3n0Oj4+nv7zn/+EwpydnU1HR0ehGGV+NAahEeLwLOddOfe8xkSgnHfl3IteB8R/9hxdhPPHR4A4xInuBFGgCbaIIk+s40+TdnNzEwqXxWCFNuHkf0WA4JeAl8jfTLlHYGKMvAhosPJyM9TKNFibdGYq8gQ3xAFMHJ5DJU2izRD8EtshNJIp9whMjJEXAQ1WXm6GWhlxiNvB6iMJghviACYOzz4IGZXgl0CR0IgGi2DCGC0IaLBaUHJMGAHiENdghWl4NgDBDXEAE4dnH4SMSvBLoEhoRINFMGGMFgQ0WC0oOSaMAHGIa7DCNGiw+kA4fFQN1vAUu8EOCGiwOoBqyG0ENFibmGR6iya4IQ5gojth7vVBgOCXWBmhkUy5R2BijLwIaLDycjPUyohD3A5WH0kQ3BAHMHF49kHIqAS/BIqERjRYBBPGaEFAg9WCkmPCCBCHuAYrTIOfCPtAOHxUDdbwFLvBDghosDqAakg/EdY0kOktmjC/xAFMdCdquHt/GQIEv8uevDmL0Eim3CMwMUZeBDRYebkZamXEIW4Hq48kCG6IA5g4PPsgZFSCXwJFQiMaLIIJY7QgoMFqQckxYQSIQ1yDFabBT4R9IBw+qgZreIrdYAcENFgdQDWknwhrGsj0Fk2YX+IAJroTNdy9vwwBgt9lT/YTIYGbMXaDgAZrN7i/uKcSh7gdrD6yIbghDmANVh9+iagEv8Q6CI1kerkhMDFGXgQ0WHm5GWplxCGuweojCYIb4gAmDs8+CBmV4JdAkdCIBotgwhgtCGiwWlByTBgB4hDXYIVpeDYAwQ1xABOHZx+EjErwS6BIaESDRTBhjBYENFgtKDkmjABxiGuwwjRosPpAOHxUDdbwFLvBDgggBuvi4mK6u7sLLe/p6Wk6ODgIxTg7O5vOz89DMa6urqbr6+tQjOPj4+ny8jIUg5p8enoaDkVxc3R0FFpLmR+NcX9/P5U/kev29nZ6//59JMT06tWr6e3bt6EY1OSSN1FcT05OptevX4eWRHATWsAfkwl+M9UAoj6X/fznP/8h4A3FIDRCdLAIjYSA+Ntkoj5/+vRpKjkcuYizk9hLptxDDBbRnYgQ++fcLB0OIoEJPEqMqGml1pHlDZjYz2+//TYRxpVYCxFjJG4IPAh+M9WALPWZ4IaIQXBDaITYCxWDqAHE51tiPwS/xDq+n79PxTIGrywJrMHaJlKDFRT3M9MtrjymmSIS/GYq8lnqcxaOCW4IjWTBo6xDg9WHDQ3WP3AlXDiRwBTdGiwKyb/iWFx5TDNFJPjNVAM0WJvqIrghNJJJ8xqsPmxosDRYfZT1j6hEAq+y0IaHWFwbQNrjIQS/xCFOQajB0mDVtETUZ6I5UVtny/1MuafB0mC1aDY8hkjg8CKgAMQBDC0FCTMSNwQgBL+ZirwGS4NVywuiBmiwtlHWYGmwarmH3CcSGFkIEIQ4gIFlYCFG4oYAheBXg0Uw0ScGwQ2hkT67WxaVqAEaLA1WVX2ESIgEri60cYC/wWoEasYwi+sMsPZwKMFvphpgB8sOVi0NNVg1hJbdt4NlB2uZcmbOIhJ45iO7DScO4G6LWxB4JG4WbH9rCsGvBotgok8MghtCI312tywqUQOI5sSy1fMGmlhHiaHB0mBRWvphHCKBV1low0Msrg0g7fEQgl/iEKcgtIPFH8CERih+iThEfdZgbTOhwdJgEflZjUEkcPUhKw2wuK4E9I4eQ/CrwdoReQ2PJbghNNKw1NWGEPVZg6XBqgqWEAmRwNWFNg7wN1iNQM0YZnGdAdYeDiX4zVQD7GDZwaqloQarhtCy+3aw7GAtU87MWUQCz3xkt+HEAdxtcQsCj8TNgu1vTSH41WARTPSJQXBDaKTP7pZFJWoA0ZxYtnreQBPrKDE0WBosSks/jEMk8CoLbXiIxbUBpD0eQvBLHOIUhHaw+AOY0AjFLxGHqM8arG0mNFgaLCI/qzGIBK4+ZKUBFteVgN7RYwh+NVg7Iq/hsQQ3hEYalrraEKI+a7A0WFXBEiIhEri60MYB/garEagZwyyuM8Daw6EEv5lqgB0sO1i1NNRg1RBadt8Olh2sZcqZOYtI4JmP7DacOIC7LW5B4JG4WbD9rSkEvxosgok+MQhuCI302d2yqEQNIJoTy1bPG2hiHSUGYrCurq6m+/t7ak2L45Q3tfInchEiIRK44Hl9fR3Zyve5T09P4RhEgPPz8+no6CgUqhS1m5ubUIzCTVQjmYrrL7/8EsKjTCa4KTXg4eEhtJai1WjHNQu/RA0oYH78+DGEaaYaEN7INE1EDTg8PJzevXsXWs7Xr1+R+kzkb2gjf5sczb0sZ813Y3NwEIKlaKTUxeiFGKzoIjLNz2KwqEM8k+ijPBPclIJW4kQuipvIGv6cm4XfLJ+hsvBLGazoQVF0QnQnCK0SMYgaQKyDijFS/hK5R+BK1Gcsf5+yMEwgC8QgEpgghxDJaG+vBDdEEaC4AeSapkOpwdpkk6gBxJu4BovIsn4xshy/RP4StZVAmqjPWP5qsDYpJQ5xghxCJBqs7XQligDFDVFMRirQBB5Z+CVqgAZrWxFEfSZ0RsUYKX+J3CNwJeozlr8aLA0WIeo1YhDFlSgCRAJTeI1UoAlMsvCLFejgb0nsYBGq6hdjpPwlco9AmqjPWP5qsDRYhKjXiKHB2kZ5pAJNaIgo8qkKtAZrQxZEDSB0RsUYKX+J3CNwTZW/GiwNFiHqNWIQxZUoAkQCU3iNVKAJTLLwi70Ba7A0WERiVGL4G6xNgLD81WBpsFbIX+QRGiw7WDUhabC2EfJvEdZUs7v7I70gEblHMEG8AGuwCCaeiUEc4gQ5hEjK9rIkMEEXwQ1RBChuCEyy8Eu8ARN4ZOGXqAEFD/+ZBv4FmNAZFWOk/CVyj8CVqM9Y/trB4hOYIIcQiQZrO12JIkBxQxSTkQo0gUcWfokaoMHaVgTxkkXojIoxUv4SuUfgStRnLH81WBosQtRrxCCKK1EEiASm8BqpQBOYZOEXK9D+BmtDFkQNIHRGxRgpf4ncI3Al6jOWvxosDRYh6jViEMWVKAJEAlN4jVSgCUyy8IsVaA2WBotIjEoM4hMsOpQgAAAgAElEQVQ/kXvEVon6jOWvBkuDRYh6jRgarG2UNVibmBBFPlWB1mBpsFYorhqsTZA1WJ1ERxziBDlEkS8QZTmACboIbrIcwAQemfglCjSBSRZ+iRpQ8PBH7vwLMKEzKkaW+kzkL5F7BK7E2Ynlrx0sPoEJcgiRZDqAicTRYNnBqumIKPJE7hE1QIO1zTZRA2oaWvO+BotHO1X+arA0WLzE+0QkimuWA5hCaKQCTWCShV8NFsGmBqsPittR7WD5iXAVrRGHOFFcCRduB2tbMlkOYErMGqxNJLPwS9QAO1gaLKpO1OJosBIbrKurq+nh4aHG4Q/vl4Mi+nuDUtSKUCJXMTblT/SK7uXr16/T9fV1dBlTMYzR6+zsbDo6OgqFoTQSWsQ0fdcHoZHT09PoUpD5mfi9v78P7ank3c3NTShGFoN1eHg4vXv3LrSXMpni982bN+G1RANkqs/RvVDzo+fEny/R0TifP38On+FE7hG4Es0J7AWJ+ERIuF8C2JEIJvCgYhD/1QahEfmlGN2MQ/BLrIzoHhMaIQo0gcdoMQhuRsMkaowy4ZGFXyJ/NVjPKGskgjMlDnEAa7AyMarB+hEbRIHOy/buVpalPu8Oge0na7B4Noj81WBpsHhl/ktEDdYmMEQCr0Zew4MIfhseUx1iB6sK0V4P0GBpsNYQMFGfNVgarDW0+v0ZxAFsB2s1umY/iOB39kOfmaDBIlDMG0ODpcFaQ50arE4oZ0lgguBOEC0KSxzAGqxF0K8yieCXWKgGi0Axb4ws9TkTQn4i5Nkgzl87WHaweGX+S0TiANZgrUbX7AcR/M5+qB0sArK9iqHBsoO1hmA1WJ1QzpLABMGdIFoUljiANViLoF9lEsEvsVA7WASKeWNkqc+ZELKDxbNBnL92sOxg8cq0g9WEKZHATQ9aaZAGaxPo0fhdSUbVx2iw7GBVRQIMIPJXg6XBAqTYFoI4gO1gtWG9i1EEv8S67WARKOaNocHSYK2hTg1WJ5SzJDBBcCeIFoUlDmAN1iLoV5lE8EssVINFoJg3Rpb6nAkhPxHybBDnrx0sO1i8Mv1E2IQpkcBND1ppkAbLT4RrSE2DZQdrDZ0R9VmDpcFaQ6vfn0EcwHawVqNr9oMIfmc/9JkJdrAIFPPG0GBpsNZQpwarE8pZEpgguBNEi8ISB7AGaxH0q0wi+CUWqsEiUMwbI0t9zoSQnwh5Nojz1w6WHSxemX4ibMKUSOCmB600SIPlJ8I1pKbBsoO1hs6I+qzB0mCtoVU/ET6DMpHAq5HX8CANlgarQSbhIRosDVZYRA0BiPqswdJgNUiNGUIcwH4iZLjoEYXgl1iXnwgJFPPG0GBpsNZQ53AG6+LiYrq9vV0Dux8+4/z8fCp/Itf9/f308PAQCTF9/fp1urq6CsV4fHyc7u7uQjHK5OLEo9fl5eV0cnISCkNopJi009PT0Dqenp6m6O8eitbLfka5NFh8B+vVq1fhnKH0VfT67ds3KtziOGdnZ9O7d+8Wzy8TifzNxE2paaNcWc7fL1++TO/fvw/BmqqDFdpJssnEWzRBDuHC/yxIySBevByCm8UPH3iiBos3WEQNoCRHdI+ptWSIk4mbDHhkWkOWGk9p5OCpvBJ4/R8CBMEEORqsbVES3Cj1bQQ0WBqsl5QXRH1+SXitudcsNZ7SiAbrH+ohCCbI0WBpsNYqbBosDdZaWsvwHKI+Z9jHiGsgzl8CF0ojGiwNFqHHVWJkSb5VNrviQzRYGqwV5bbzR1GH5843MuACstR4SiMaLA3W3qRpluTbG8AaF6rB0mA1SmWIYdThOQQYyTaRpcZTGtFgabCSpdi/LydL8u0NYI0L1WBpsBqlMsQw6vAcAoxkm8hS4ymNaLA0WMlSTIO1NiEaLA3W2prb5fOow3OXexj12RqsUZn9Y18EwUQC+yP3baER3Awu30Xb02BpsBYJZ08nEfV5T7eeftlZajylETtYdrDSJ92fC8ySfHsDWONCNVgarEapDDGMOjyHACPZJrLUeEojGiwNVrIU8xPh2oRosDRYa2tul8+jDs9d7mHUZ2uwRmXWT4Tpmc2SfOmBmrlADZYGa6Zk9nq4BisvfVlqPKURO1h2sPJmWwdu9mazKy5Ug6XBWlFuO38UdXjufCMDLkCDNSCpf98SQTCRwP7IfVtoBDeDy3fR9jRYGqxFwtnTSUR93tOtp192lhpPacQOVocuCUGOBkuDtVY11GBpsNbSWobnEPU5wz5GXIMGa0RW/7YngmAigTVYGqy1Uk2DpcFaS2sZnkPU5wz7GHENxPlL4EJpxA6WHSxCj6vEyJJ8q2x2xYdosDRYK8pt54+iDs+db2TABWSp8ZRGEIN1e3s7ffv2LUT38fHx9Pr161CM+/v76eHhIRTj8+fP0/X1dShG2cv//ve/UIwvX75M79+/D8Uok0snLHoR3ETXUOZfXV19/xO5CI1Env/n3FevXk0nJyfhUDc3N+EYWQwWwe9PP/00nZ6ehjAhco8q0AS/P//883R3dxfChKgBWXKv5N3l5WUID2py0UmGizjDDw8Pp6Ojo9B2iBrw+PgY1juVv4jBKkUtWgiIIp/F/YYUlnAywU2WbWXRCJbABwdhaOU3DOFWgEz8ErsjNJIl9wg8qBhPT09UqFAc4gz/5ZdfpsLxri/i5zVY/j4BDBPkmMC7luW/P5/gJsvushR5LIE1WBvSkt8+mUbUgCzc9EFoWVTg+F324H/MIs5wDdY2FXawEHmOHYQorlkQylLkNVh9FCG/fXAlakAWbvogtCyqBmsZbj+aZQfrGXRMYF5oVESCG2ot0ThZirwGK8rk8/Pltw+uRA3Iwk0fhJZF1WAtw02DNRM3E3gmYCsOJ7hZcbk/fFSWIq/B6qMI+e2DK1EDsnDTB6FlUTVYy3DTYM3EzQSeCdiKwwluVlyuBmsm2PI7E7CG4ZkMdMNyq0MIjWiwtmHWYFWlN3uAnwifgcwEnq2j1SYQ3Ky22MqDshT5TAew/PLqzMQvsTtCI1lyj8CDiqHBopD8K44GS4PFq6pjRKK4dlzerNBZinymA1h+Z0moaXAmfpsWXBlEaCRL7hF4UDE0WBSSGqwfImkC80KjIhLcUGuJxslS5DMdwPIbVdX2/Ez8ErsjNJIl9wg8qBgaLApJDZYGi9fSKhGJ4rrKQhsekqXIZzqA5bdBODOHZOJ35tKfHU5oJEvuEXhQMTRYFJIaLA0Wr6VVIhLFdZWFNjwkS5HPdADLb4NwZg7JxO/MpWuwCMAaY2iwGoGaMczfYD0DFlHksxyeM7SwF0MJbrJsNItGMh3A8surMxO/xO4IjWTJPQIPKoYGi0LSDpYdLF5Lq0QkiusqC214SJYin+kAlt8G4cwckonfmUu3g0UA1hhDg9UI1IxhdrDsYM2Qy+6HegDzHGQ6gOV3bH6J3REayfJyQ+BBxdBgUUjawbKDxWtplYhEcV1loQ0PyVLkNVgNZC0YIr8LQGuYQtSALNw0bHe1IRosHmo7WHaweFV1jEgU147LmxU6S5HXYM2irXmw/DZDNWsgUQOycDNr450Ha7B4gDVYGixeVR0jEsW14/Jmhc5S5DVYs2hrHiy/zVDNGkjUgCzczNp458EaLB7g4QwWAdFPP/003dzchEL98ssvU0niyJWlCFAHcAQLci7BL7EeQiOpEvjggIAlRQyCmyz5mwLQZIsg+M2yJaIGlL0QBitLbc3CDbEO6vw9eCIYBnZEiIRI4CwFmiIYoAYJQfBLLITQCFFcKX4PNFgbssiSv4RWR4tB5F4WTIgaoMHKwub2OrD6rMHaBDdLgaYIziJhDdYmExS/Gqyc+Zsl7zKtQ4O1zQbR38hSWzNpLboWrD5rsHIWaIrgqNCo+VmKAFHkibdXil8NVs78pfJmpDhE7mXBg6gBdrCysGkHq4kJIoHtYDVBPXuQBssOVk00I+Vvba8v8T7BbxbcNFhZmOizDuwF2A5WzjdgiuA+8psfVYOlwaqphjiAs7wg1fb6Eu8T/GbBTYOVhYk+66DOX3/k/g9+shRoiuA+8psfVYOlwaqphjiAs+Rvba8v8T7BbxbcNFhZmOizDur81WBpsPoo9B9RNVgarJrQiANYg1VDeXf3CX53t/rNJ2uwsjDRZx0arGdwJRI4S4GmCO4jv/lRNVgarJpqRsrf2l5f4n2C3yy4abCyMNFnHdT5awfLDlYfhdrB+iGuWAL772Bt4JzlBWmVpNqzh2iwtgnzn2nIKWKsPvsj902CsxRoiuAs8rWDZQerpkXiAM6Sv7W9vsT7BL9ZcLODlYWJPuugzl87WHaw+ijUDpYdrJnKIg5gDdZM0FccTvC74nJ/+CgNVhYm+qxDg/UMrkQCZynQFMF95Dc/qh0sO1g11YyUv7W9vsT7BL9ZcNNgZWGizzqo89cOlh2sPgq1g2UHa6ayiAM4ywvSzK2/iOEEv1mA0mBlYaLPOjRYdrD6KKtTVDtYdrBq0iIOYA1WDeXd3Sf43d3qN5+swcrCRJ91aLA0WH2U1SmqBkuDVZMWcQBrsGoo7+4+we/uVq/ByoL9GuvQYGmw1tAZ9gwNlgarJibiANZg1VDe3X2C392tXoOVBfs11pHKYF1cXEx3d3ehfZ+dnU1HR0ehGGV+NMb9/f1U/uz6Kmu4vr7e9TK+P//Tp0/TyclJaC0arD4Gq3yqGOUi8pcwWMfHx9Pl5eUosKbZR9Hqzc1NaD3lnDg/Pw/FuL29nd6/fx+K8fvvv4fPvLIA4t/BKvt5fHwM7Yc6w6PcXF1dhc89In9fv34dPvMKIciP3InD89dff51KHK//jwD1jZ/Ak+CG0AixF+ItmuCGekMiMBkpBmGw5KaPIghusuQvhRBhsIi1EPWZ4IbQSKb81WAR6uwQgzjEqWVpsDaRJLjJVAQonWSIM1qBzoAptQaCG+IQJ/KXwkSDtYkkoZFMtVWDRWUKHCdTEdBgabBgeXcLN1qB7gbUDgIT3Giw+hBnB6sPrhqsPriGo2qwwhA+GyBLgc70ltUH6d1EJQ5xuenDHcFNlvylELKDZQerqiXC/RJdkupC92iABqsPWVkKtId4H36JQ1xu8nKTJX8phDRYGqyqljRYVYhmD9BgzYasaUKWAu0h3kTX7EEarNmQrTaB4CZL/lKgabA0WFUtabCqEM0eoMGaDVnThCwFWoPVRNfsQcQhLjezYW+aQHCTJX+bNtwwSIOlwarKRINVhWj2AA3WbMiaJmQp0B7iTXTNHkQc4nIzG/amCQQ3WfK3acMNgzRYGqyqTDRYVYhmD9BgzYasaUKWAu0h3kTX7EHEIS43s2FvmkBwkyV/mzbcMEiDpcGqykSDVYVo9gAN1mzImiZkKdAe4k10zR5EHOJyMxv2pgkEN1nyt2nDDYM0WBqsqkw0WFWIZg/QYM2GrGlClgLtId5E1+xBxCEuN7Nhb5pAcJMlf5s23DBIg6XBqspEg1WFaPYADdZsyJomZCnQHuJNdM0eRBzicjMb9qYJBDdZ8rdpww2DNFgarKpMNFhViGYP0GDNhqxpQpYC7SHeRNfsQcQhLjezYW+aQHCTJX+bNtwwSIOlwarKRINVhWj2AA3WbMiaJmQp0B7iTXTNHkQc4nIzG/amCQQ3WfK3acMNgzRYGqyqTDRYVYhmD9BgzYasaUKWAu0h3kTX7EHEIS43s2FvmkBwkyV/mzbcMEiDpcGqykSDVYVo9gAN1mzImiZkKdAe4k10zR5EHOJyMxv2pgkEN1nyt2nDDYM0WBqsqkyyGKyrq6vp+vq6ut4fDSiCPzg42HmM33//fbq7uwuto0wu/8dj9Do5OZlev34dCnN7ezs9Pj6GYhCTj46OpvInchHmlzrET09PI1v5PvfTp09T4ThyXVxchPVK5N7Xr1+nh4eHyFamV69eTW/fvg3FOD4+ni4vL0MxqMkEN4RGCIN1eHg4vXnzJgRNiXF+fh6KUerZ+/fvQzHKZMJgEfwS9Zkwv4RGqNoaJneapoMngOEsBosghwA1UwyA3kzbSbGWTAYr+jLwpwkvORy5iBoQeX62uZmKPMFNeVGLaiRLfSa4IWoAZbAIfon80WBto6jBIpSVOIYGiyeHKK5EkS8702Dx/BIRKX6JtRAHsAZrkwmiBmiwttVNmPBMuafBIipY4hgaLJ4corhSRUCDxfNLRKT4JdaiwdpEkeCGqAEaLA1WU36bwE0w7WSQBouHnSiuRJG3g8VzS0Wk+CXWY33WYBE6qsXwE6GfCGsaGe6+BounVIO1jSlxiPNM7S6iBqtPd4JglOCGqAF2sPpohOCX0Nn3F2B/5E5BmTOOBovnhSiuVBHwEyHPLxGR4pdYC2F+/Q3WJhNEDdBgabCa8tsEboJpJ4M0WDzsRHGlDmANFs8vEZHil1iL9dlPhISOajH8ROgnwppGhruvweIp1WD5ibCmKg1Wn+5EDfeW+wQ3RA2wg9VHIwS/LTpqGeMnwhaU9niMBosnjyiuVBGwg8XzS0Sk+CXWYgfLDhaho1oMO1h2sGoaGe6+BounVINlB6umKg1Wn+5EDfeW+wQ3RA2wg9VHIwS/LTpqGWMHqwWlPR6jweLJI4orVQTsYPH8EhEpfom12MGyg0XoqBbDDpYdrJpGhruvweIp1WDZwaqpSoPVpztRw73lPsENUQPsYPXRCMFvi45axtjBakFpj8dosHjyiOJKFQE7WDy/RESKX2ItdrDsYBE6qsWwg2UHq6aR4e5rsHhKNVh2sGqq0mD16U7UcG+5T3BD1AA7WH00QvDboqOWMXawWlDa4zEaLJ48orhSRcAOFs8vEZHil1iLHSw7WISOajHsYNnBqmlkuPsaLJ5SDZYdrJqqNFh9uhM13FvuE9wQNcAOVh+NEPy26KhlTJoO1tnZ2fTmzZuWNf/rmCxm4v7+frq+vg7thZr84cOHcKjCzdHRUThOhgClMN7c3ISWQumM6D4R/BL/DcrV1dVUdB+5CG4izyfnZirydrDsYNW0TdT4orPyJ3KVGlD+RK9obT08PJzOz8+jy8jzfxGGdzJNE9GiJNZBvd0QayFiEAcwsQ4iRjEkHz9+DIUiDs9MGsnCL8FNiFhwMqERajkaLA1WTUtZakBtnS33idpK5W+aDlYLcLUxGqwaQsvuj5R8xCFOJB9RBJaxuT0rC78ENxQm0TiERqJr+HO+BkuDVdNSlhpQW2fLfaK2UvmrwWphbOYYguCZj+w6fKTkIw5xIvkyaSQLvwQ3XRNhRnBCIzMe98OhGiwNVk1LWWpAbZ0t94naSuWvBquFsZljCIJnPrLr8JGSjzjEieTLpJEs/BLcdE2EGcEJjcx4nAZrBlgEN1T+Er/nzGKgZ1DQdSjBDaGRskkNVgeqCYI7LGtxyCwH8OIN/G0icYgTyZdJI1n4JbghNELEIDRCrKPEyHIAZ+GX4IbKXw0WpfK/4hDcEBrRYPHcfo9IENxpaYvCZjmAFy3+H5OIIk8kXyaNZOGX4IbQCBGD0AixDg3WNooEN1T+arAolWuweCT/EdEfufeBOMsBTOyOOMQzFWgCkyz8EtwQeBAxCI0Q69BgabBadJSlBrSstTaGML9U/vqJsMbWgvsEwQse223KSMlHHOJE8mXSSBZ+CW66JcHMwIRGZj7yX4f7iXATGoIbKn/tYFEqt4PFI2kHqzum5QFZDmBis8QhnqlAE5hk4ZfghsCDiEFohFiHHSw7WC06ylIDWtZaG0OYXyp/7WDV2FpwnyB4wWO7TRkp+YhDnEi+TBrJwi/BTbckmBmY0MjMR9rBagSM4IbKXztYjaTNGEZwQ2ikLFmDNYO41qEEwa3PWmNclgOY2CtxiBPJl0kjWfgluCE0QsQgNEKsww6WHawWHWWpAS1rrY0haiuVvxqsGlsL7hMEL3hstykjJR9xiBPJl0kjWfgluOmWBDMDExqZ+Ug7WI2AEdxQ+WsHq5G0GcMIbgiN2MGaQdqcoQTBc57Xe2yWA5jYJ3GIE8mXSSNZ+CW4ITRCxCA0QqzDDpYdrBYdZakBLWutjSFqK5W/drBqbC24TxC84LHdpoyUfMQhTiRfJo1k4ZfgplsSzAxMaGTmI+1gNQJGcEPlrx2sRtJmDCO4ITRiB2sGaXOGEgTPeV7vsVkOYGKfxCFOJF8mjWThl+CG0AgRg9AIsQ47WHawWnSUpQa0rLU2hqitVP7awaqxteA+QfCCx3abMlLyEYc4kXyZNJKFX4KbbkkwMzChkZmPtIPVCBjBDZW/drAaSZsxjOCG0AjWwbq6upru7+9nQNBv6MHBQSh4EXw0xtevX6fr6+vQOg4PD6fz8/NQDGpyWcfR0REVbqdxSvKVP5GrYBHlhigCZQ/lfy+IXgS/pQY8PDyEllKM3s3NTShGKYzlH9aMXKWWEfn77t27yDK+zyX4JeozoZEsBrrU1ig3hDH6fgAHz6sSI8taiLOTyt+i+chF1HjMYEU2Qs7NksDEnigHTazFGDwClMGiimt0h8S/Fh5dw5+GpNSByEVxE1nDn3Oz8Evsxfq8jSJhsIgO9Ej5S2iVioF8IqQWE41jAkcRdP5aCFCHeJYDeKQCTXFDaCkLv8RerM8arJqOsvx/wrV1tt7XYLUitfI4O1grA77y46hDPMsBrMHqI6As/BK702BpsGo60mDVENrhfRN4h+D76FkIaLBmwdU8mCjQFDfNi/7BQA0WgSIfg3oB9hPhJjdE/vJsL49oB2s5dl1nUgncdZEGX4wAdYhnOYDtYC2Wwg8nZuGX2J0vwHawajrSYNUQ2uF9E3iH4PvoWQhosGbB1TyYKNAUN82LtoNFQLVqDOoF2A6WHaxVhRt5mAYrgp5z10SAOsSzdDjsYPVRTxZ+id1Zn+1g1XREvCDVnrHmfT8Rron2jGdRb0gzHunQFRHQYPUBmyjQFDfEDjVYBIp8DKo+28Gyg8Wrs1NE35A6AWtYHAHqEM9yANvBwiXyPWAWfondWZ/tYNV0RLwg1Z6x5n07WGuiPeNZ1BvSjEc6dEUENFh9wCYKNMUNsUMNFoEiH4Oqz3aw7GDx6uwU0TekTsAaFkeAOsSzHMB2sHCJ2MHqAykSVYOFwLgVhHhB6rOyZVHtYC3DrfssKoG7L9QHLEJAg7UItuokokBT3FQX2zAgi4FuWGp1iC/A2xDZwbKDVU2cLANM4CxMuI4aAtQhnuUAtoNVY3zZ/Sz8Llv95izrswarpiPiBan2jDXv28FaE+0Zz7KDNQOsPRyqwepDGlGgKW6IHWqwCBT5GFR9toNlB4tXZ6eIviF1AtawOALUIZ7lALaDhUvke8As/BK7sz7bwarpiHhBqj1jzft2sNZEe8azqDekGY906IoIaLD6gE0UaIobYocaLAJFPgZVn+1g2cGqqvP29nb69u1bddyPBpRCEhXb58+fp+vr69A6skymEvjm5ia8JYIbIsbh4eF0dHQU3k80wOPj43R3dxcK8+XLl+n9+/ehGFSHg8jfknv39/eh/ZT5Dw8PoRhZDNarV6+mk5OT0F7K5GL2ohfB7/Hx8fT69evQUq6urqbyZ9cXkb8Fj//973/hrZTOb/T69OnT9Pbt21CYn3/+OVzTiPpc8Dg9PQ3thThrqPxFOlhZPg+EWEk2mTJYUdOaCRbi8CT2M1qHg8jfX3/9dYoeFsQnJEIjBL9U/hJ6zcIvsRciBsEvsY7RYhC5R9QAAlcqfzVYBBsdYmAEHxx0WN1uQhIJTKw8U4EmPiFlOYCJ4kpohOCXyl9Cr1n4JfZCxCD4JdYxWgwi94gaQOBK5a8Gi2CjQwyMYA0Wzk6mAq3B2qSXKPIEv1T+EuLVYG2iSPBL8DJaDCL3NFjPqIJI4NHEFt0PVaD9RBhlYnt+pgKtwdJg1RRO1GfiE3BtnWvdz5S/a+15jedosLZRtoO1hvIWPEODtQ0akcALqNiakqlAa7A0WDVNa7DsYNU0Qtwn6rMdLDtYhBarMTRYGqyqSKB/JynLAUwUV6LIEwaayt8WDdTGZOG3ts617hP8rrXWfXoOkXtEDSAwo/LXDhbBRocYGMH+BgtnJ1OBtoNlB6smcA2WHayaRoj7Giw/ERI6WiWGBssOVovQNFgarJpONFgarJpGiPsaLA0WoaNVYmiwNFgtQtNgabBqOtFgabBqGiHua7A0WISOVomhwdJgtQhNg6XBqulEg6XBqmmEuK/B0mAROlolhgZLg9UiNA2WBqumEw2WBqumEeK+BkuDReholRgaLA1Wi9A0WBqsmk40WBqsmkaI+xosDRaho1ViaLA0WC1C02BpsGo60WBpsGoaIe5rsDRYhI5WiaHB0mC1CE2DpcGq6USDpcGqaYS4r8HSYBE6WiWGBkuD1SI0DZYGq6YTDZYGq6YR4r4GS4NF6GiVGBosDVaL0DRYGqyaTjRYGqyaRoj7GqxOBuvi4mK6vb0lODLGHwicnJxMl5eXYTxKcY1ehdtv375Fw4Tnn52dTe/evQvFOTw8nI6OjkIxCh5F85Hr8fFxuru7i4T4PjeLwfr06dP09u3b0H4+f/48XV9fh2IQGvny5cv0/v370Dqo/A0t4o/JP//8c1hrWf6z5/v7++nh4SEEC8FvaAF/m1xepKNXlvpMGKyrq6up/Nn1ReUv8l/l7BoMn98XAeINuO8K26MTRaD9af8+kvrvdrIYLAITY+RFIIvByvJ/1VFMjZS/WWorxQ0RR4NFoDh4DA0WT7AGi8fUiP0Q0GD1wVaD1QfXLFE1WFmYSLwODRZPjgaLx9SI/RDQYPXBVoPVB9csUTVYWZhIvA4NFk+OBovH1Ij9ENBg9cFWg9UH1yxRNVhZmEi8Dg0WT44Gi8fUiP0Q0GD1wVaD1QfXLFE1WFmYSLwODRZPjgaLx9SI/RDQYPXBVoPVB9csUTVYWZhIvA4NFk+OBovH1Ij9ENBg9cFWg9UH1yxRNVhZmEi8Dg0WT44Gi8fUiP0Q0Ol365MAACAASURBVGD1wVaD1QfXLFE1WFmYSLwODRZPjgaLx9SI/RDQYPXBVoPVB9csUTVYWZhIvA4NFk+OBovH1Ij9ENBg9cFWg9UH1yxRNVhZmEi8Dg0WT44Gi8fUiP0Q0GD1wVaD1QfXLFE1WFmYSLwODRZPjgaLx9SI/RDQYPXBVoPVB9csUTVYWZhIvA4NFk+OBovH1Ij9ENBg9cFWg9UH1yxRNVhZmEi8Dg0WT44Gi8fUiP0Q0GD1wVaD1QfXLFE1WFmYSLwODRZPjgaLx9SI/RDQYPXBVoPVB9csUTVYWZhIvA4NFk+OBovH1Ij9ENBg9cFWg9UH1yxRNVhZmEi8Dg0WT44Gi8fUiP0Q0GD1wVaD1QfXLFHTGKyRDvH//ve/UzlAM1wHBwfhZRDFNQu/v/zyy/Thw4cwJtEAGqxtBEfihqoBRP5GtUrNJ/gtufvx40dqSYvjUPwuXgA8kajPWfjNxI0GCxZqCZeKYA3WBsNEESAko8HSYLXoSIO1iZIGq0U188dosOZj1jJDg9WC0swxGqxtwIgEnknDs8M1WHJT0xFhfqkaoMHSYNX0Stwn6jNRWwkDTeUegasGi0DxHzFSEWwHyw5WReNEcSXSiCjQxDo0WASKfTqUxAFM7C5TjSf2Q9QAIn8JfjNxo8Ei1KnBqqJIJHD1IQ0DiCLQ8JjqEOIQLw/xR7JVqGcPILihirwdLDtYswW8YAJRn4naqsFaQF7LFILgluesMYYqrsRaiQLtj9wJJjZjEIe4BovnpUQkuKFqAJG/fVCaHzXLATx/5dszKH6JtRAxiPM3C7+ZuLGDRajTDlYVRSKBqw9pGEAUgYbHVIcQh7gGqwrzogEEN1SR12DZwVok4pmTiPpM1FY7WDOJax1OENz6rN7jqOJKrJMo0HawCCbsYNVQJAp07Rkt9zVYLSjNH0PwSxzA81duB6sFsyz8pjp/n4gfcbSgXxmjwQJAfCaEBmsTFKIIEEwRh7gdLIKJ7RgEN1SRJ/K3D0rzoxK5p8Gaj3vLDOL8zcIvlXstuNXG+ImwhtCC+6kI9m8RbjBIFIEFktiaQhziGiyCCQ1WHxS3oxK5p8Hqw5YGqw+uGqwOuGqwtkElEpigiijyxDo0WH0O4CzcUDXADtYmoxosQuF96jNRWwl+qdwjkNZgESj+I0Yqgu1g2cGqaFzzuwkQYX6pGqDB0mB1OKK2QhI1QIO1zZQGq4N6qeJKLI0o0P7InWCCP8T9RMjzUiJqsPrgmuUAJnaXqcYT+9FgEShqsPqgaAeriiuRwNWHNAwginzDY6pDiENcg1WFedEAghvqACZekBaB0GESkXvEJyRiaxS/xFqIGER9zsJvJm7sYBHq1GBVUSQSuPqQhgFEEWh4THUIcYhrsKowLxpAcEMVeQ3WJoUarEWSrk4i6jNRWwl+qdyrgtYwQIPVANLcIakI9jdYG/QRRWCuHp4bTxziGiyCie0YBDdUDdBgabD6qHwzqgarD8oarA64UsWVWBpRoP0NFsHEZgziENdg8byUiAQ3VA0g8rcPSvOjEi83RIdj/sq3Z1D8EmshYmiwCBS3YwxlsM7Ozqbz8/M+SM2Ien9/P11fX8+YsT30+Ph4ury8DMX487CIBrm6upoeHh5CYQo3R0dHoRhlHVFciSJ/e3s7vX//PrSXw8NDRKulMEYvorhG11DmF0zevHkTClX+3eSoKXl8fJwKx5GLOoCL2YteFxcX093dXTRMeD6Re1kM1qtXr6a3b9+GMSkvrxmuovei+8hVtHpzcxMJMZW8ida0TOfvUAaLSOCQOv6YnOkNmNgPcQATXTCiuBIakV9CVWPHoAwWgRKRv8Q6iNwjagCxFypGkv9IBdkOwQ2hkUz1WYOFSGszSCaCie0RBVqDtcmEBzChzLwx5HebG+LwJA7xTKrRYG2yQWgk0/mrweqQbZkIJranwdJAEzp6STE0WBqsFr1rsDRYLToJjyEOccL9hjeS7EeyxH4Ibuxg2cEitLgvMTRYGqwWrWqwNFgtOgmPIQ5xDVaYhmcDENxosDRYfdSZM6oGS4PVokwNlgarRSfhMcQhrsEK06DBaoDQT8ANIL3wIRosDVZLCmiwNFgtOgmP0WCN3eGwgzU2v+ECMFgADZYGq0XSGiwNVotOwmM0WGMfwBqssfkNF4DBAmiwNFgtktZgabBadBIeo8Ea+wDWYI3Nb7gADBZAg6XBapG0BkuD1aKT8BgN1tgHsAZrbH7DBWCwABosDVaLpDVYGqwWnYTHaLDGPoA1WGPzGy4AgwXQYGmwWiStwdJgtegkPEaDNfYBrMEam99wARgsgAZLg9UiaQ2WBqtFJ+ExGqyxD2AN1tj8hgvAYAE0WBqsFklrsDRYLToJj9FgjX0Aa7DG5jdcAAYLoMHSYLVIWoOlwWrRSXiMBmvsA1iDNTa/4QIwWAANlgarRdIaLA1Wi07CYzRYYx/AGqyx+Q0XgMECaLA0WC2S1mBpsKo6ubi4mO7u7qrjfjTg9vZ2enx8DMXI8l/llH2U/USu+/v76fr6OhICm3t2djYdHR2F4l1dXU0PDw+hGOXQKkY8cpX/5ubm5iYSYjo8PJzOz89DMV6/fj2dnJyEYpTJp6en4RhfvnyZvn37Forz6dOn8H6KRjJo/vj4eLq8vAzhQeVveTGJXkRtja6hzC81JFpHCq7lzyhXtJ4VHIjztxi9g4ODEKxEfSY0kum/Mjt4Aiw00X0KMfvH5CwGi9gLIRJiHSUG0X0iNELw++HDh+njx48haDJ1J6JFMQTE3yYTGiG4IfZD8EvlL1CeCUiMkRgBorYS2yPqM7EOIveIGlD2osEiGO0QgxAJtSzi8CSKAJHAxCFOJR/BjwaLQHEzBsEvlb8aLJ7f0SIStZXAhKjPxDqI3CNqgAaLYLNTDEIk1NI0WPwBTHGjwaKQ/CsOUVyp/NVg8fyOFlGDtckokXtEDdBgJc40QiTU9jRYGqyalgiNEN3F2jpb7hPFlcpfDVYLYy97jAZLg7VKBmRpURKbpQo0sRbi8CSKAMEvcYgTBzDBy/c3pOAPU6l1EBohuCH2Q/BL5a8Gi2B07BhEbSUQIuozsQ4i94gaYAeLYLNTDEIk1NKIw5MoAkQCE4c4lXwEPxosAkW+Q0nlrwaL53e0iERtJTAh6jOxDiL3qBrvj9wJRjvEIERCLUuDxR/AFDcaLArJv+IQxZXKXw0Wz+9oETVYfiJcRdNZHDSxWapAE2vRYGmwajoiNEJ0F2vrbLmvwWpByTFZENBgabBW0aIGqw/MxOFJFAGCX+IQJw5giik7WBSSdrB4JI24BgJEbSXWSdRnYh1Ec4Kq8X4iJBjtEIMQCbUsDZYdrJqWCI0Q5re2zpb7RHGl8tdPhC2MvewxGiw7WKtkQBYHTWyWKtDEWojDkygCBL/EIU4cwAQvJYYdLApJO1g8kkZcAwGithLrJOozsQ7i7KRqvB0sgtEOMQiRUMvSYNnBqmmJ0AhhfmvrbLlPFFcqf+1gtTD2ssdosOxgrZIBWRw0sVmqQBNrIQ5PoggQ/BKHOHEAE7zYwaJQ5A00lb8arD4cjxSVqK0EHkR9JtZB5B5V4+1gEYx2iEGIhFqWBos/gClu/ERIIflXHKK4UvmrweL5HS2iBssO1iqazuKgic1SBZpYiwZLg1XTEaERortYW2fLfQ1WC0qOyYKABkuDtYoWNVh9YCYOT6IIEPwShzhxAFNM2cGikLSDxSNpxDUQIGorsU6iPhPrIJoTVI1HPhFeXV1N9/f3IWxKjIeHh1CMLASHNvHH5IJnwSTDdX5+Ph0dHYWWQhQBgt+SfOVP9Ioam/LpJxqj7KEYxuh1dnYW5resIbqfYuRvbm5C2ymFsWgtekX38vXr1+n6+jq6DIRfQmtZYhD8ltpKcBMmd5qmUtOi10jnb6nN0RpA5F4qgxUVSJmf5QAm9mKMbQRG4pd4Q8qkkSwdSgITyoSfnp4SyzEGjMBo/Gb5jV2W+kx8YSAkp8F6BkUi+QhyjKHB2icNaLA22RrNQO+TFmtrJWp8Jn41WJuMa7BqGbDwfhYHvXD5TqsgMBK/mQo0ITwNlgaL0NEaMTRYfVDOUp81WH349RNhJ1yzhM2SwAQeGqw+HUqCm9EOYAKTkWKMxq8dLDtYq+TnSAfwKoDt2UNG4leDpcHas/QbZrkarD5UZqnPdrD68GsHqxOuWcJmSWACDw2WBovQkTHmI6DBmo9Zy4ws9VmD1cLWgjFZCF6wdKc0IDASvxosDVaD5B3SAQENVgdQE/0tfg1WH37tYHXCNUtYDVYWJrbX4Y/cNzEZzUDnVd78lWmw5mPWMiNLfdZgtbC1YEwWghcs3SkNCIzE72gHsAZLg9WQwimGaLD60JClPmuw+vBrB6sTrlnCZklgAg8Nlp8ICR0ZYz4CGqz5mLXMyFKfNVgtbC0Yk4XgBUt3SgMCI/GrwdJgNUjeIR0Q0GB1ANXfYG2B6r/k/ozOiOTrI1+jarDyasBPhH4izKvOzZURNT7TC5L/DtYmv3awOmXiSAdwJ4j2OuxI/GYq0IQoNFgaLEJHa8TQYPVBOUt91mD14dffYHXCNUvYLAlM4KHB8hMhoSNjzEdAgzUfs5YZWeqzBquFrQVjshC8YOlOaUBgJH41WBqsBsk7pAMCGqwOoPobrC1Q/Q3WMzojkq+PfI2qwcqrAT8R+okwrzo3V0bU+EwvSP4Ga5NfO1jPZOLV1dX08PAQylFCaOUQL38iV0m+m5ubSIjp8PBwOj8/D8W4v7+frq+vQzGoyYWbg4ODULjPnz+HNUIU19Am/phcuCmaz3B9/PgxvIyzs7PpzZs3oThE/hK5V948T09Pd76X0AKc/EMEorXo69evaWprMRTRi6jPRP5S52+pA7u+jo6Owmd42cPBE4As0Z0g3qIJUggHTbQXM71lEbgSMbIYLGIvVIzoYUOtg8hfIveI/RD5S6zDGNsIZNHIaNwQ+TsaJsR+NFj/QJFIYKJAa7C25a3B2sZEg0WUwc0YRP7yqzJiQYCozyK5jYAGq48qNFgarD7K6hBVg6XB6iCrrZAarDVQXvYMDdYy3GqzNFg1hJbd12BpsJYpZwezNFgarDVkp8FaA+Vlz9BgLcOtNkuDVUNo2X0NlgZrmXJ2MEuDpcFaQ3YarDVQXvYMDdYy3GqzNFg1hJbd12BpsJYpZwezNFgarDVkp8FaA+Vlz9BgLcOtNkuDVUNo2X0NlgZrmXJ2MEuDpcFaQ3YarDVQXvYMDdYy3GqzNFg1hJbd12BpsJYpZwezNFgarDVkp8FaA+Vlz9BgLcOtNkuDVUNo2X0NlgZrmXJ2MEuDpcFaQ3YarDVQXvYMDdYy3GqzNFg1hJbd12BpsJYpZwezNFgarDVkp8FaA+Vlz9BgLcOtNkuDVUNo2X0NlgZrmXJ2MEuDpcFaQ3YarDVQXvYMDdYy3GqzNFg1hJbd12BpsJYpZwezNFgarDVkp8FaA+Vlz9BgLcOtNkuDVUNo2X0NlgZrmXJ2MEuDpcFaQ3YarDVQXvYMDdYy3GqzNFg1hJbd12BpsJYpZwezNFgarDVkp8FaA+Vlz9BgLcOtNkuDVUNo2X0NlgZrmXJ2MEuDpcFaQ3YarDVQXvYMDdYy3GqzNFg1hJbd12BpsJYpZwezNFgarDVkp8FaA+Vlz9BgLcOtNkuDVUNo2X3EYF1cXEy3t7fLVvDHrMvLy+nk5CQUg5h8dXU1lT+Rq+yj7CdyFTwLrqNcZT/fvn0Lbefs7Gx69+5dKMbT09N0cHAQivHq1auwVh8fH6e7u7vQOsrkn376KRzj+Ph4ev36dSjO+fn59ObNm1CMUuR/++23UIz7+/vp4eEhFIMwWBS/ZS3Ri8g9QiMEN58/f56ur69DkBD5G1oAPJngdySDReQepRHEYMF6MdyACBQjcHNzM8TOiAO4GInT09MUeBDFleCX6FASHY5M/JYXguhFcENohOAmikWZT/BLrIOKkYVfaj/ROERtpTSiwYqy6fwmBIgi0PSgFQYRyUcUAWqrxOFJ8KvB2mZUg0Wp/K84RP7yq1oekcg9ogYs3wE7k6itlEY0WCy3RvsXBIgikAVcIvmIIkDhQRRXgl8NlgaL0vSP4hD5u8Y6W59B5B5RA1rX23scUVspjWiwerNt/O8IEEUgC5RE8hFFgMKDKK4EvxosDRalaQ3WPCSJGjDvif1GE7WVqPFlhxqsfjwb+W8IEAdwFkCJ5COKAIUHUVwJfjVYGixK0xqseUgSNWDeE/uNJmorUeM1WP04NvI/ECAO4CygEslHFAEKD6K4EvxqsDRYlKY1WPOQJGrAvCf2G03UVqLGa7D6cWxkDdYPNUAUAUpkRHHVYG2yQfHrj9wplf8Vhzo8+ZUti0jkHlEDlq2en0XkHqURPxHy/BrxGQSIIpAFWCL5iCJA4UEUV4JfO1h2sChN28GahyRRA+Y9sd9oorYSNd4OVj+OjWwHyw7WzCzQYGmwZkpm0XDq8Fz08A6TiJcbDdYmMZRG7GB1ELwhtxEgikAWXInkI96yKDyI4krwq8HSYFGatoM1D0miBsx7Yr/RRG0larwdrH4cG9kOlh2smVmgwdJgzZTMouHU4bno4R0mES83Giw7WB2kaci1ECCKwFprrT2HKNDEW1Ztna33ieJK8KvB0mC1ajYyjsjfyPPpuUTuETWA3tfSeERtpTTiJ8KlLDpvFgJEEZj1wI6DieQjigC1RaK4EvxqsDRYlKZ/FIfI3zXW2foMIveIGtC63t7jiNpKaUSD1Ztt439HgCgCWaAkko8oAhQeRHEl+NVgabAoTWuw5iFJ1IB5T+w3mqitRI0vO9Rg9ePZyH9DgDiAswBKJB9RBCg8iOJK8KvB0mBRmtZgzUOSqAHznthvNFFbiRqvwerHsZH/gQBxAGcBlUg+oghQeBDFleBXg6XBojStwZqHJFED5j2x32iithI1HjNYt7e307dv30KIlX+x+ODgYOcxQgv4Y/JIeylbOj4+nl6/fh2ChjiADw8Pp6Ojo9A6iMllDe/evQuF+vr163R1dRWKUSbf3NyEY3z69Gl6+/ZtKM7nz5+n+/v7UIyikdPT01CMclCUAhu5MvH78ePHyFa+zyW4OT8/n968eRNaC8FN0djDw0NoHcTh+fj4ON3d3YXWUSaXtUQvorYSNSDLuUfU1pOTk+ny8jJKDfOJkCA4vBMDdEOAeLshNEJ0OAiQUr0hBV9KCDxKDEIjHz58mKKGgtDIaPwS3GTJX0IjhMEiNFLyJst/hUTVgQxxCH6pfSC/wSKSj9qQcXgERirQBDpEcaWKQLTrS+ChwdpGMRO/I+WvBmtba56/m5hQuUfURg0WgeLgMUYq0ARVGqxtFAmNEIenHaw+3BCHOMENoRHiACZqgB0sohr3e7khVqfBIlAcPAZxeGYp0ARVRHElinzZix2sTUaJQ3w0fkfKXw2WHaxaDadqa+05Lfc1WC0ovfAxIxVogsrRDmACE0IjxOGpwbKDVdMzcQATNcAOVo2pZfcJfpc9eXuWBotCcuA4xOFpB2tTIFQRsINlB6tWekbKX8KEE7mnwaqpbnf3CX6p1WuwKCQHjjNSgSZoIoorVQQ0WBqsmqZHyl8Nlp8Ia3qnamvtOS33NVgtKL3wMSMVaIJKDVafz1DE4eknwj7cZOlAExohDmCiBviJkKjG2zEIfqmVabAoJAeOo8HaJJcorlQRsINlB6tWekbKXw2WHaya3qnaWntOy30NVgtKL3zMSAWaoFKD1adLQhyedrD6cGMHi3/JsoNFVGM7WH1QNOpqCGiw+OJKvWXZwbKDVSsEI+UvYcKJ3CNesjRYNeUuu0/wu+zJ27PsYFFIDhxnpAJN0EQUV6oIaLA0WDVNj5S/Giw/Edb0TtXW2nNa7muwWlB64WNGKtAElRqsPp+hiMPTT4R9uPETId/FtoNFVGM/EfZB0airIaDB4osr9ZZlB8sOVq0QjJS/hAknco94ydJg1ZS77D7B77In+4mQwu1FxRmpQBPEEcWVKgIaLA1WTdMj5a8Gy0+ENb1TtbX2nJb7fiJsQemFjxmpQBNUarD6fIYiDk8/Efbhxk+EfBfbDhZRjf1E2AdFo66GgAaLL67UW5YdLDtYtUIwUv4SJpzIPeIlS4NVU+6y+wS/y56c+BMhUQQoUEaKQxzAWbghimuWDsdIGit7GUkjRIH2AN5WOJF7RA0g+M2Uv0R3caT8JbihNJLmE2EWgglyMsXQYOXscGTSCLGWLPmb5QDWYGmwiLxqiaHBakFp3hgN1jy8XuxoDZYGaw3xa7D4z8ijfUKyg9UnEzVYPK4aLB7TISNqsDRYawhbg6XBqulMg1VDaNl9DdYy3H40S4PFYzpkRA2WBmsNYWuwNFg1nWmwaggtu6/BWoabBovH7cVF1GBpsNYQvQZLg1XTmQarhtCy+xqsZbhpsHjcXlxEDZYGaw3Ra7A0WDWdabBqCC27r8FahpsGi8ftxUXUYGmw1hC9BkuDVdOZBquG0LL7GqxluGmweNxeXEQNlgZrDdFrsDRYNZ1psGoILbuvwVqGmwaLx+3FRdRgabDWEL0GS4NV05kGq4bQsvsarGW4abB43F5cRA2WBmsN0WuwNFg1nWmwaggtu6/BWoabBovH7cVF1GBpsNYQvQZLg1XTmQarhtCy+xqsZbhpsHjcXlxEDZYGaw3Ra7A0WDWdabBqCC27r8FahpsGi8ftxUXUYGmw1hC9BkuDVdOZBquG0LL7GqxluGmweNxeXEQNlgZrDdFrsDRYNZ1psGoILbuvwVqGmwaLx+3FRdRgabDWEL0GS4NV05kGq4bQsvsarGW4abB43F5cRA2WBmsN0WuwNFg1nWmwaggtu6/BWoabBmsmbldXV9P19fXMWfzwp6enKWpsjo+Pp8vLy/DiousoC8hyeN7f30/lT+Q6Ojqayp/I9fj4ON3e3kZCfJ///v37UIw/uQkHAQKU3Ht4eAhFOjs7m87Pz0MxPnz4MH38+DEU47///e/022+/hWKU+aenp6EYZXKpJdGLOICjayjzsxisV69eTW/fvg1tiajxoQX8bfKXL1+mb9++hcKV8+Y///lPKAaRv0SNJ2orUQMKmAdPQAYTCUwc4kRxDSkMnIwRfHAQXhXBTXgRgwXIdAAT0BI1IMsBTOReJn4JbgiNZOGX2IsxthEg+CVwJXKPqAEaLILNTjEwgjVYnRiKhSWKANXhiO3k/88mDnGiQBMvWUTuZeKX4IbQSBZ+ib0YQ4PVogE7WC0o7WAMUeS/O2gN1g7Yqz8y0wFcX219BHGIZzmAidzLxC/BTV0B9RFZ+K2v1BFLECD4XfLcf84hco+oAXawCDY7xcAI1mB1YigWligCdrC2ObCDtY2JBiuWq85uQ0CDtY2THaw27aw+SoO1OuSrPlCD1ecTgwZLg7VqIvuw/0NAg6XB2pt00GDtDVWLFqrB0mC1CAf4O0jI7+Na1lobQxzAhIGurdP7yxAg+F325M1ZRG3Fzl//FiFBKR8DI9hPhDw5QESiCJRlEAcwsB3kECcKNHEAE7mXiV8/ERIKN0YNASJ/a89ouU/kHlEDylr9RNjC2A7GYARrsHbAXv2RRBHQYG3jrMHaxkSDVc9HR8QR0GBtY6jBiuuqSwQNVhdY0wTVYG1TQRRoDZYGK02Sv7CFEPlLQEbUVuz89RMhQSkfAyPYDhZPDhCRKAJ2sOxgtUjRDlYLSo6JIqDBsoMV1dBq8zVYq0G9kwdpsOxgtQiP+I2dBqsFacdEEdBgabCiGlptvgZrNah38iANlgarRXgarE2UiE/ALbg7Zj4CGiwN1nzV7GiGBmtHwK/0WA2WBqtFahosDVaLTjKM0WBpsDLosGkNGqwmmPZ2kAZLg9UiXg2WBqtFJxnGaLA0WBl02LQGDVYTTHs7SIOlwWoRrwZLg9WikwxjNFgarAw6bFqDBqsJpr0dpMHSYLWIV4OlwWrRSYYxGiwNVgYdNq1hNIN1cXEx3d3dNe393waVw+Yg+M9OZInx+++/h/EoOJW/IRa9Pn36NJ2cnITCEH9T7fDwcHrz5k1oHV+/fp0eHh5CMYjce3x8nG5vb0PrKJM/fvwYjnF2djYdHR2F4hD5SxzAxI/cj4+Pp8vLyxAehdv379+HYpTJv/76azgGwQ1RA4rGojq7urqarq+vQ5gQtZWoAWUT/kOjISr7TcYIDhqSP4tA9CAnDuB+aL/syKXIy+9fGqByj1BV9IUiU/5mMVgEv5k60ERtJWoAoXfCQBPrIDSiwSKY6BQDI1iD1YmhccISxZUo8lkQpXKP2I8GaxNF4gAm+NVgEerejkHwS6yM0IgGi2CiUwyMYA1WJ4bGCavB2uSSyj1CIRosDVZNR8TLDVEDautsua/BegalLARnIadFSLUxVJEfqUDXMPP+MgSI4krUgGWr52dRuUesbKT89RPhtiKy/CUGogYQes9yhlM1wN9gEaroEAMj2A5WB3bGCkkUVw1WH01osOxg1ZRF5B5RA2rrbLmvwbKD1aKT8BgNVhhCAzQiQBRXosg3Lrf7MCr3iIVqsDRYNR0RuUfUgNo6W+5rsDRYLToJj6GK/EgFOgyqAZ5FgCiuRJHPQg+Ve8R+RspfPxH6ibCWExosDVZNI8h9qsiPVKARYA2yhYAGaxMSKvcIqY2UvxosDVYtJzRYGqyaRpD7VJEfqUAjwBpEg1XRAJV7hNRGyl8NlgarlhMaLA1WTSPIfarIj1SgEWANosHSYM3OAuITsAZLg1UTngZLg1XTCHJfg4XAaJAGBPxE6CfCmkw0WJsI+Q+N1hSz7L4GS4O1TDkzZ2mwZgLm8MUIaLA0WDXxaLA0WDWNEPc1WBosQkfVGBqsKkQOgBDQYGmwalLSYGmwahoh7muwNFiEjqoxNFhViBwAIaDB0mDVpKTB0mDVNELc12BpsAgd2mO+DwAAC0JJREFUVWNosKoQOQBCQIOlwapJSYOlwapphLivwdJgETqqxtBgVSFyAISABkuDVZOSBkuDVdMIcV+DpcEidFSNMZrBurq6mu7v76v77j2g/O2fm5ub0GMODw+n8/PzUAxq8sePH8OhCINF8EtwU/KmmIHoFf3nTSiNlAMnehWtHh0dhcIQBqtwc3p6GloH8Z8jFyyi+VtqWdF89IrqrDz/8+fP08PDQ2gpRA0ILeCPyRosDRaho2qM0QxWdcMrDSASmOKG2DJRoEcqrsS/tUT8FfxMGiF0RhgsYh0Ev8Q6qBhE/hJrGakGEHhQ+XvwBLwSEMlHEEwcngQ5RAyM4IOD8HIIbsKLgAIQGqG4IbZEFOgs/BLcEAewBmtbmUSNJ/RO8Eusg4pB5C+xlpFqAIEHVeM1WAQbHWJgBGuwNtghDnGKG0I2RIEeqbgSB7AGS4NF5GZLDCJ/W55TGzNSDajtteU+VeM1WC1o72AMRrAGS4NV0e9IxVWD1adY2cHqg6sGaxNX4gWYYAo7f/1ESNDBx8AI1mBpsDRYsxLUDpYdrFmCCQzWYGmwqvIh3m6It+gs7rcKWMMADVYDSAuGEBqhuFmw/K0pRIEmco/YC8GNHSyCCQ1WHxS3oxL5S6x1pBpA4EHVeD8REmx0iIERbAfLDpYdrFkZagdLgzVLMIHBGiw7WFX52MGqQjR7gAZrNmRNE4guCcVN04Irg4gCPdLbqx0sQlUarD4o2sGq4UrU59ozWu5TNd4OVgvaOxiDEWwHyw6WHaxZGWwHS4M1SzCBwcQLUuDx/zd1pJcsAg/s/PVH7gQdfAyMYA2WBkuDNStBNVgarFmCCQzWYG2CZwfrGTH5iTCQYf8yVYPFY1oiEglMcUPskCjQI729+omQUJUGqw+K21GJ/CXWOlINIPCgaryfCAk2OsTACLaDZQfLDtasDLWDpcGaJZjAYA2WHayqfOxgVSGaPUCDNRuypgl2sLZhGunt1Q5WUxrMHkTU+NkPfWYCwS+xDiqGBkuDVdUSkXxEkScOz+pmVxqgweoDNKERihtih0SBJnKP2AvBDXEA28Gyg0XouSUGkb8tz6mNGakG1Pbacp+q8X4ibEF7B2Mwgv1EuMEecYhT3BCyIgr0SMVVg0WoSoPVB8XtqET+EmsdqQYQeFA1XoNFsNEhBkawBkuDVdHnSMVVg9WhGE3TRHylIFZG8Eusg4qhwfITYVVLRPIRRb609sufEa6jo6Pp/Pw8vBUigQlurq6upoeHh9B+np6epuh+Sgziiq7j8PAQ4bd05KJX0VnRW+Qi+C06u7m5iSxjKi8mp6enoRhfv36drq+vQzGoF6TQIv6YTHBTYtzf3xPLCcUg+CXqSKb8JfglanyI2D8mZznDsfN3pH8HiyB4tBhRI1DwIJKPMOEEN8QbsL/R2WYiC7+ERogYmQyW3BCMbsYYjV+ixvMo73/EoT4R7j8d/A40WJuYarB4jZWIHuJjH8B9VLO/UTVY+8vdmivXYK2J9g6epcHSYK0hOw2WBmsNnWV5hgYrCxO516HBys1PeHUaLA1WWEQNATRYGqwGmQwzRIM1DJVdN6LB6grv7oNrsDRYa6hQg6XBWkNnWZ6hwcrCRO51aLBy8xNenQZLgxUWUUMADZYGq0EmwwzRYA1DZdeNaLC6wrv74BosDdYaKtRgabDW0FmWZ2iwsjCRex0arNz8hFenwdJghUXUEECDpcFqkMkwQzRYw1DZdSMarK7w7j64BkuDtYYKNVgarDV0luUZGqwsTORehwYrNz/h1WmwNFhhETUE0GBpsBpkMswQDdYwVHbdiAarK7y7D67B0mCtoUINlgZrDZ1leYYGKwsTudehwcrNT3h1GiwNVlhEDQE0WBqsBpkMM0SDNQyVXTeiweoK7+6Da7A0WGuoUIOlwVpDZ1meocHKwkTudWiwcvMTXp0GS4MVFlFDAA2WBqtBJsMM0WANQ2XXjWiwusK7++AaLA3WGirUYGmw1tBZlmdosLIwkXsdGqzc/IRXp8HSYIVF1BBAg6XBapDJMEM0WMNQ2XUjaQzWp0+fprdv34Y2+/T0NEUNxUgxCpjl4Itev/76azhOlgP4l19+mT58+BCC5Pb2drq4uAjFODo6mt69exeKQU0mNP/zzz9Pd3d3oSUdHh5OBZcRrkz8EtwcHx9Pr1+/DlFzf38/PTw8hGJkmZzJYJVaVGpS5Do/P5/evHkTCTER+Uto5NWrV9PJyUloL9TkNAaL2pBxeAQ0WDymv/3223R6esoH3uOIhPnNsv3R+CVqQHmx+fjxYxaKQuvIZLBCG/ljMvECTOQvoZFM3GiwCHUOHoMorkQCEzATRYBYx2gHMIFJFm6IvYzGL1EDiMOT4IaIkekQJ/ZD1GcifwmNZOJGg0Woc/AYRHElEpiAmSgCxDpGO4AJTLJwQ+xlNH6JGkAcngQ3RIxMhzixH6I+E/lLaCQTNxosQp2DxyCKK5HABMxEESDWMdoBTGCShRtiL6PxS9QA4vAkuCFiZDrEif0Q9ZnIX0IjmbjRYBHqHDwGUVyJBCZgJooAsY7RDmACkyzcEHsZjV+iBhCHJ8ENESPTIU7sh6jPRP4SGsnEjQaLUOfgMYjiSiQwATNRBIh1jHYAE5hk4YbYy2j8EjWAODwJbogYmQ5xYj9EfSbyl9BIJm40WIQ6B49BFFcigQmYiSJArGO0A5jAJAs3xF5G45eoAcThSXBDxMh0iBP7Ieozkb+ERjJxo8Ei1Dl4DKK4EglMwEwUAWIdox3ABCZZuCH2Mhq/RA0gDk+CGyJGpkOc2A9Rn4n8JTSSiRsNFqHOwWMQxZVIYAJmoggQ6xjtACYwycINsZfR+CVqAHF4EtwQMTId4sR+iPpM5C+hkUzcaLAIdQ4egyiuRAITMBNFgFjHaAcwgUkWboi9jMYvUQOIw5PghoiR6RAn9kPUZyJ/CY1k4kaDRahz8BhEcSUSmICZKALEOkY7gAlMsnBD7GU0fokaQByeBDdEjEyHOLEfoj4T+UtoJBM3GixCnYPHIIorkcAEzEQRINYx2gFMYJKFG2Ivo/FL1ADi8CS4IWJkOsSJ/RD1mchfQiOZuNFgEeocPAZRXIkEJmAmigCxjtEOYAKTLNwQexmNX6IGEIcnwQ0RI9MhTuyHqM9E/hIaycSNBotQ5+AxiOJKJDABM1EEiHWMdgATmGThhtjLaPwSNYA4PAluiBiZDnFiP0R9JvKX0EgmbjRYhDoHj0EUVyKBCZiJIkCsY7QDmMAkCzfEXkbjl6gBxOFJcEPEyHSIE/sh6jORv4RGMnGjwSLUOXgMorgSCUzATBQBYh2jHcAEJlm4IfYyGr9EDSAOT4IbIkamQ5zYD1GfifwlNJKJG8RgXVxcTLe3twTPxkiIwOXl5XRychJaWRaNnJ+fT+XPrq+SLwUTr78QyMINwclo/BI14Orqaip/RrhKPSyYjHIR9ZnIX0IjmbhBDNYoInMfIiACIiACIiACIkAgoMEiUDSGCIiACIiACIiACPwNAQ2WchABERABERABERABGAENFgyo4URABERABERABERAg6UGREAEREAEREAERABGQIMFA2o4ERABERABERABEdBgqQEREAEREAEREAERgBHQYMGAGk4EREAEREAEREAENFhqQAREQAREQAREQARgBDRYMKCGEwEREAEREAEREAENlhoQAREQAREQAREQARgBDRYMqOFEQAREQAREQAREQIOlBkRABERABERABEQARkCDBQNqOBEQAREQAREQARHQYKkBERABERABERABEYAR0GDBgBpOBERABERABERABDRYakAEREAEREAEREAEYAT+Hzt3cx8vy0NgAAAAAElFTkSuQmCC">
          <a:extLst>
            <a:ext uri="{FF2B5EF4-FFF2-40B4-BE49-F238E27FC236}">
              <a16:creationId xmlns:a16="http://schemas.microsoft.com/office/drawing/2014/main" id="{62399AA5-7CF7-4438-AD6A-BFBA090372A6}"/>
            </a:ext>
          </a:extLst>
        </xdr:cNvPr>
        <xdr:cNvSpPr>
          <a:spLocks noChangeAspect="1" noChangeArrowheads="1"/>
        </xdr:cNvSpPr>
      </xdr:nvSpPr>
      <xdr:spPr bwMode="auto">
        <a:xfrm>
          <a:off x="1409700" y="5717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22413</xdr:colOff>
      <xdr:row>63</xdr:row>
      <xdr:rowOff>112059</xdr:rowOff>
    </xdr:from>
    <xdr:to>
      <xdr:col>1</xdr:col>
      <xdr:colOff>941295</xdr:colOff>
      <xdr:row>63</xdr:row>
      <xdr:rowOff>1030941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179FCF-AF0F-4623-BC33-12AFD22B1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6531" y="57497383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3</xdr:col>
      <xdr:colOff>11206</xdr:colOff>
      <xdr:row>63</xdr:row>
      <xdr:rowOff>145677</xdr:rowOff>
    </xdr:from>
    <xdr:to>
      <xdr:col>3</xdr:col>
      <xdr:colOff>930088</xdr:colOff>
      <xdr:row>63</xdr:row>
      <xdr:rowOff>1064559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CF4F8260-8826-4EAE-BF20-48BBC64BF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4353" y="57531001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63</xdr:row>
      <xdr:rowOff>134471</xdr:rowOff>
    </xdr:from>
    <xdr:to>
      <xdr:col>5</xdr:col>
      <xdr:colOff>941294</xdr:colOff>
      <xdr:row>63</xdr:row>
      <xdr:rowOff>1053353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DDA98029-23D9-4D02-AEDC-DDEB549B2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44588" y="57519795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6</xdr:col>
      <xdr:colOff>201706</xdr:colOff>
      <xdr:row>63</xdr:row>
      <xdr:rowOff>134470</xdr:rowOff>
    </xdr:from>
    <xdr:to>
      <xdr:col>7</xdr:col>
      <xdr:colOff>896470</xdr:colOff>
      <xdr:row>63</xdr:row>
      <xdr:rowOff>1053352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8A6E8B02-6AE5-4FCF-B494-207814085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798794" y="57519794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9</xdr:col>
      <xdr:colOff>11206</xdr:colOff>
      <xdr:row>63</xdr:row>
      <xdr:rowOff>179295</xdr:rowOff>
    </xdr:from>
    <xdr:to>
      <xdr:col>9</xdr:col>
      <xdr:colOff>930088</xdr:colOff>
      <xdr:row>63</xdr:row>
      <xdr:rowOff>1098177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DEDE226E-0FA1-451D-B5EA-D94AFA614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031441" y="57564619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11</xdr:col>
      <xdr:colOff>11206</xdr:colOff>
      <xdr:row>63</xdr:row>
      <xdr:rowOff>179294</xdr:rowOff>
    </xdr:from>
    <xdr:to>
      <xdr:col>11</xdr:col>
      <xdr:colOff>930088</xdr:colOff>
      <xdr:row>63</xdr:row>
      <xdr:rowOff>1098176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57702D6A-F4C9-4947-B645-31B00263D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230471" y="57564618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11206</xdr:colOff>
      <xdr:row>63</xdr:row>
      <xdr:rowOff>123264</xdr:rowOff>
    </xdr:from>
    <xdr:to>
      <xdr:col>13</xdr:col>
      <xdr:colOff>930088</xdr:colOff>
      <xdr:row>63</xdr:row>
      <xdr:rowOff>1042146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DBF89251-9CF0-4626-9803-67CE3ADD6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429500" y="57508588"/>
          <a:ext cx="918882" cy="918882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77</xdr:row>
      <xdr:rowOff>134470</xdr:rowOff>
    </xdr:from>
    <xdr:to>
      <xdr:col>1</xdr:col>
      <xdr:colOff>907676</xdr:colOff>
      <xdr:row>77</xdr:row>
      <xdr:rowOff>1019735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BF8DE0-B9D8-4B8A-AF66-3BED29910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6529" y="70272088"/>
          <a:ext cx="885265" cy="885265"/>
        </a:xfrm>
        <a:prstGeom prst="rect">
          <a:avLst/>
        </a:prstGeom>
      </xdr:spPr>
    </xdr:pic>
    <xdr:clientData/>
  </xdr:twoCellAnchor>
  <xdr:twoCellAnchor editAs="oneCell">
    <xdr:from>
      <xdr:col>3</xdr:col>
      <xdr:colOff>22412</xdr:colOff>
      <xdr:row>77</xdr:row>
      <xdr:rowOff>156881</xdr:rowOff>
    </xdr:from>
    <xdr:to>
      <xdr:col>3</xdr:col>
      <xdr:colOff>896471</xdr:colOff>
      <xdr:row>77</xdr:row>
      <xdr:rowOff>1030940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D32B52-7C12-4CF4-82AF-8350C3A23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45559" y="70294499"/>
          <a:ext cx="874059" cy="874059"/>
        </a:xfrm>
        <a:prstGeom prst="rect">
          <a:avLst/>
        </a:prstGeom>
      </xdr:spPr>
    </xdr:pic>
    <xdr:clientData/>
  </xdr:twoCellAnchor>
  <xdr:oneCellAnchor>
    <xdr:from>
      <xdr:col>7</xdr:col>
      <xdr:colOff>22411</xdr:colOff>
      <xdr:row>77</xdr:row>
      <xdr:rowOff>134470</xdr:rowOff>
    </xdr:from>
    <xdr:ext cx="885265" cy="885265"/>
    <xdr:pic>
      <xdr:nvPicPr>
        <xdr:cNvPr id="449" name="Picture 448">
          <a:extLst>
            <a:ext uri="{FF2B5EF4-FFF2-40B4-BE49-F238E27FC236}">
              <a16:creationId xmlns:a16="http://schemas.microsoft.com/office/drawing/2014/main" id="{62A9B5D4-A8EA-4D64-BF4A-058505A1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6529" y="70272088"/>
          <a:ext cx="885265" cy="885265"/>
        </a:xfrm>
        <a:prstGeom prst="rect">
          <a:avLst/>
        </a:prstGeom>
      </xdr:spPr>
    </xdr:pic>
    <xdr:clientData/>
  </xdr:oneCellAnchor>
  <xdr:oneCellAnchor>
    <xdr:from>
      <xdr:col>9</xdr:col>
      <xdr:colOff>22412</xdr:colOff>
      <xdr:row>77</xdr:row>
      <xdr:rowOff>134470</xdr:rowOff>
    </xdr:from>
    <xdr:ext cx="874059" cy="874059"/>
    <xdr:pic>
      <xdr:nvPicPr>
        <xdr:cNvPr id="450" name="Picture 449">
          <a:extLst>
            <a:ext uri="{FF2B5EF4-FFF2-40B4-BE49-F238E27FC236}">
              <a16:creationId xmlns:a16="http://schemas.microsoft.com/office/drawing/2014/main" id="{6BC1A1F3-A84E-47A9-8289-2819D624B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042647" y="70272088"/>
          <a:ext cx="874059" cy="874059"/>
        </a:xfrm>
        <a:prstGeom prst="rect">
          <a:avLst/>
        </a:prstGeom>
      </xdr:spPr>
    </xdr:pic>
    <xdr:clientData/>
  </xdr:oneCellAnchor>
  <xdr:oneCellAnchor>
    <xdr:from>
      <xdr:col>11</xdr:col>
      <xdr:colOff>22411</xdr:colOff>
      <xdr:row>77</xdr:row>
      <xdr:rowOff>134470</xdr:rowOff>
    </xdr:from>
    <xdr:ext cx="885265" cy="885265"/>
    <xdr:pic>
      <xdr:nvPicPr>
        <xdr:cNvPr id="451" name="Picture 450">
          <a:extLst>
            <a:ext uri="{FF2B5EF4-FFF2-40B4-BE49-F238E27FC236}">
              <a16:creationId xmlns:a16="http://schemas.microsoft.com/office/drawing/2014/main" id="{38404781-C901-4034-973F-4BE8469F8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6529" y="70272088"/>
          <a:ext cx="885265" cy="885265"/>
        </a:xfrm>
        <a:prstGeom prst="rect">
          <a:avLst/>
        </a:prstGeom>
      </xdr:spPr>
    </xdr:pic>
    <xdr:clientData/>
  </xdr:oneCellAnchor>
  <xdr:oneCellAnchor>
    <xdr:from>
      <xdr:col>13</xdr:col>
      <xdr:colOff>11206</xdr:colOff>
      <xdr:row>77</xdr:row>
      <xdr:rowOff>145675</xdr:rowOff>
    </xdr:from>
    <xdr:ext cx="874059" cy="874059"/>
    <xdr:pic>
      <xdr:nvPicPr>
        <xdr:cNvPr id="452" name="Picture 451">
          <a:extLst>
            <a:ext uri="{FF2B5EF4-FFF2-40B4-BE49-F238E27FC236}">
              <a16:creationId xmlns:a16="http://schemas.microsoft.com/office/drawing/2014/main" id="{AB808494-017A-4265-96A9-CBCA2FA1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429500" y="70283293"/>
          <a:ext cx="874059" cy="874059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77</xdr:row>
      <xdr:rowOff>179294</xdr:rowOff>
    </xdr:from>
    <xdr:ext cx="885265" cy="885265"/>
    <xdr:pic>
      <xdr:nvPicPr>
        <xdr:cNvPr id="453" name="Picture 452">
          <a:extLst>
            <a:ext uri="{FF2B5EF4-FFF2-40B4-BE49-F238E27FC236}">
              <a16:creationId xmlns:a16="http://schemas.microsoft.com/office/drawing/2014/main" id="{C4B5C89A-F25F-4FC6-9372-F410D0720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622176" y="70316912"/>
          <a:ext cx="885265" cy="885265"/>
        </a:xfrm>
        <a:prstGeom prst="rect">
          <a:avLst/>
        </a:prstGeom>
      </xdr:spPr>
    </xdr:pic>
    <xdr:clientData/>
  </xdr:oneCellAnchor>
  <xdr:twoCellAnchor editAs="oneCell">
    <xdr:from>
      <xdr:col>1</xdr:col>
      <xdr:colOff>56031</xdr:colOff>
      <xdr:row>91</xdr:row>
      <xdr:rowOff>179296</xdr:rowOff>
    </xdr:from>
    <xdr:to>
      <xdr:col>1</xdr:col>
      <xdr:colOff>941294</xdr:colOff>
      <xdr:row>91</xdr:row>
      <xdr:rowOff>1064559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ECE93-CAC2-4F61-B23D-BE902B11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twoCellAnchor>
  <xdr:oneCellAnchor>
    <xdr:from>
      <xdr:col>3</xdr:col>
      <xdr:colOff>56031</xdr:colOff>
      <xdr:row>91</xdr:row>
      <xdr:rowOff>179296</xdr:rowOff>
    </xdr:from>
    <xdr:ext cx="885263" cy="885263"/>
    <xdr:pic>
      <xdr:nvPicPr>
        <xdr:cNvPr id="455" name="Picture 454">
          <a:extLst>
            <a:ext uri="{FF2B5EF4-FFF2-40B4-BE49-F238E27FC236}">
              <a16:creationId xmlns:a16="http://schemas.microsoft.com/office/drawing/2014/main" id="{F29AE20E-3A92-408D-82ED-74FC85C88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5</xdr:col>
      <xdr:colOff>56031</xdr:colOff>
      <xdr:row>91</xdr:row>
      <xdr:rowOff>179296</xdr:rowOff>
    </xdr:from>
    <xdr:ext cx="885263" cy="885263"/>
    <xdr:pic>
      <xdr:nvPicPr>
        <xdr:cNvPr id="456" name="Picture 455">
          <a:extLst>
            <a:ext uri="{FF2B5EF4-FFF2-40B4-BE49-F238E27FC236}">
              <a16:creationId xmlns:a16="http://schemas.microsoft.com/office/drawing/2014/main" id="{6BD70E19-526B-4962-8C75-A1C6E8B59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7</xdr:col>
      <xdr:colOff>56031</xdr:colOff>
      <xdr:row>91</xdr:row>
      <xdr:rowOff>179296</xdr:rowOff>
    </xdr:from>
    <xdr:ext cx="885263" cy="885263"/>
    <xdr:pic>
      <xdr:nvPicPr>
        <xdr:cNvPr id="457" name="Picture 456">
          <a:extLst>
            <a:ext uri="{FF2B5EF4-FFF2-40B4-BE49-F238E27FC236}">
              <a16:creationId xmlns:a16="http://schemas.microsoft.com/office/drawing/2014/main" id="{ED0293E0-31CD-41B6-AD81-1240069F4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9</xdr:col>
      <xdr:colOff>56031</xdr:colOff>
      <xdr:row>91</xdr:row>
      <xdr:rowOff>179296</xdr:rowOff>
    </xdr:from>
    <xdr:ext cx="885263" cy="885263"/>
    <xdr:pic>
      <xdr:nvPicPr>
        <xdr:cNvPr id="458" name="Picture 457">
          <a:extLst>
            <a:ext uri="{FF2B5EF4-FFF2-40B4-BE49-F238E27FC236}">
              <a16:creationId xmlns:a16="http://schemas.microsoft.com/office/drawing/2014/main" id="{A7372ACA-E64A-4B90-A2B6-AF240D6EF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11</xdr:col>
      <xdr:colOff>56031</xdr:colOff>
      <xdr:row>91</xdr:row>
      <xdr:rowOff>179296</xdr:rowOff>
    </xdr:from>
    <xdr:ext cx="885263" cy="885263"/>
    <xdr:pic>
      <xdr:nvPicPr>
        <xdr:cNvPr id="459" name="Picture 458">
          <a:extLst>
            <a:ext uri="{FF2B5EF4-FFF2-40B4-BE49-F238E27FC236}">
              <a16:creationId xmlns:a16="http://schemas.microsoft.com/office/drawing/2014/main" id="{272CE9E2-7C66-49F9-8E46-79D3E296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13</xdr:col>
      <xdr:colOff>56031</xdr:colOff>
      <xdr:row>91</xdr:row>
      <xdr:rowOff>179296</xdr:rowOff>
    </xdr:from>
    <xdr:ext cx="885263" cy="885263"/>
    <xdr:pic>
      <xdr:nvPicPr>
        <xdr:cNvPr id="460" name="Picture 459">
          <a:extLst>
            <a:ext uri="{FF2B5EF4-FFF2-40B4-BE49-F238E27FC236}">
              <a16:creationId xmlns:a16="http://schemas.microsoft.com/office/drawing/2014/main" id="{4093E156-E5F6-473B-84E8-3CDCBF6CA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149" y="83069208"/>
          <a:ext cx="885263" cy="885263"/>
        </a:xfrm>
        <a:prstGeom prst="rect">
          <a:avLst/>
        </a:prstGeom>
      </xdr:spPr>
    </xdr:pic>
    <xdr:clientData/>
  </xdr:oneCellAnchor>
  <xdr:oneCellAnchor>
    <xdr:from>
      <xdr:col>12</xdr:col>
      <xdr:colOff>205154</xdr:colOff>
      <xdr:row>105</xdr:row>
      <xdr:rowOff>175847</xdr:rowOff>
    </xdr:from>
    <xdr:ext cx="967153" cy="967153"/>
    <xdr:pic>
      <xdr:nvPicPr>
        <xdr:cNvPr id="472" name="Picture 471">
          <a:extLst>
            <a:ext uri="{FF2B5EF4-FFF2-40B4-BE49-F238E27FC236}">
              <a16:creationId xmlns:a16="http://schemas.microsoft.com/office/drawing/2014/main" id="{1595B5EA-7549-4112-90E0-DECCBB9C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70885" y="95682289"/>
          <a:ext cx="967153" cy="967153"/>
        </a:xfrm>
        <a:prstGeom prst="rect">
          <a:avLst/>
        </a:prstGeom>
      </xdr:spPr>
    </xdr:pic>
    <xdr:clientData/>
  </xdr:oneCellAnchor>
  <xdr:twoCellAnchor editAs="oneCell">
    <xdr:from>
      <xdr:col>1</xdr:col>
      <xdr:colOff>36635</xdr:colOff>
      <xdr:row>105</xdr:row>
      <xdr:rowOff>175847</xdr:rowOff>
    </xdr:from>
    <xdr:to>
      <xdr:col>2</xdr:col>
      <xdr:colOff>29308</xdr:colOff>
      <xdr:row>105</xdr:row>
      <xdr:rowOff>1143000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1A1956BB-413C-4A50-9DAE-C6603915D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6443" y="95682289"/>
          <a:ext cx="967153" cy="967153"/>
        </a:xfrm>
        <a:prstGeom prst="rect">
          <a:avLst/>
        </a:prstGeom>
      </xdr:spPr>
    </xdr:pic>
    <xdr:clientData/>
  </xdr:twoCellAnchor>
  <xdr:oneCellAnchor>
    <xdr:from>
      <xdr:col>3</xdr:col>
      <xdr:colOff>36635</xdr:colOff>
      <xdr:row>105</xdr:row>
      <xdr:rowOff>175847</xdr:rowOff>
    </xdr:from>
    <xdr:ext cx="967153" cy="967153"/>
    <xdr:pic>
      <xdr:nvPicPr>
        <xdr:cNvPr id="475" name="Picture 474">
          <a:extLst>
            <a:ext uri="{FF2B5EF4-FFF2-40B4-BE49-F238E27FC236}">
              <a16:creationId xmlns:a16="http://schemas.microsoft.com/office/drawing/2014/main" id="{FDB0F527-5507-4385-96BE-B213090AE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50731" y="95682289"/>
          <a:ext cx="967153" cy="967153"/>
        </a:xfrm>
        <a:prstGeom prst="rect">
          <a:avLst/>
        </a:prstGeom>
      </xdr:spPr>
    </xdr:pic>
    <xdr:clientData/>
  </xdr:oneCellAnchor>
  <xdr:oneCellAnchor>
    <xdr:from>
      <xdr:col>5</xdr:col>
      <xdr:colOff>36635</xdr:colOff>
      <xdr:row>105</xdr:row>
      <xdr:rowOff>175847</xdr:rowOff>
    </xdr:from>
    <xdr:ext cx="967153" cy="967153"/>
    <xdr:pic>
      <xdr:nvPicPr>
        <xdr:cNvPr id="476" name="Picture 475">
          <a:extLst>
            <a:ext uri="{FF2B5EF4-FFF2-40B4-BE49-F238E27FC236}">
              <a16:creationId xmlns:a16="http://schemas.microsoft.com/office/drawing/2014/main" id="{44585430-EBA6-45E0-A398-AE6C6BE65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45020" y="95682289"/>
          <a:ext cx="967153" cy="967153"/>
        </a:xfrm>
        <a:prstGeom prst="rect">
          <a:avLst/>
        </a:prstGeom>
      </xdr:spPr>
    </xdr:pic>
    <xdr:clientData/>
  </xdr:oneCellAnchor>
  <xdr:oneCellAnchor>
    <xdr:from>
      <xdr:col>7</xdr:col>
      <xdr:colOff>36635</xdr:colOff>
      <xdr:row>105</xdr:row>
      <xdr:rowOff>175847</xdr:rowOff>
    </xdr:from>
    <xdr:ext cx="967153" cy="967153"/>
    <xdr:pic>
      <xdr:nvPicPr>
        <xdr:cNvPr id="477" name="Picture 476">
          <a:extLst>
            <a:ext uri="{FF2B5EF4-FFF2-40B4-BE49-F238E27FC236}">
              <a16:creationId xmlns:a16="http://schemas.microsoft.com/office/drawing/2014/main" id="{EA8E6929-2A1D-4A6C-997F-385E0A350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39308" y="95682289"/>
          <a:ext cx="967153" cy="967153"/>
        </a:xfrm>
        <a:prstGeom prst="rect">
          <a:avLst/>
        </a:prstGeom>
      </xdr:spPr>
    </xdr:pic>
    <xdr:clientData/>
  </xdr:oneCellAnchor>
  <xdr:oneCellAnchor>
    <xdr:from>
      <xdr:col>9</xdr:col>
      <xdr:colOff>36635</xdr:colOff>
      <xdr:row>105</xdr:row>
      <xdr:rowOff>175847</xdr:rowOff>
    </xdr:from>
    <xdr:ext cx="967153" cy="967153"/>
    <xdr:pic>
      <xdr:nvPicPr>
        <xdr:cNvPr id="478" name="Picture 477">
          <a:extLst>
            <a:ext uri="{FF2B5EF4-FFF2-40B4-BE49-F238E27FC236}">
              <a16:creationId xmlns:a16="http://schemas.microsoft.com/office/drawing/2014/main" id="{36E64EDB-2165-4C6C-B4CD-4B20B3268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033597" y="95682289"/>
          <a:ext cx="967153" cy="967153"/>
        </a:xfrm>
        <a:prstGeom prst="rect">
          <a:avLst/>
        </a:prstGeom>
      </xdr:spPr>
    </xdr:pic>
    <xdr:clientData/>
  </xdr:oneCellAnchor>
  <xdr:oneCellAnchor>
    <xdr:from>
      <xdr:col>11</xdr:col>
      <xdr:colOff>36635</xdr:colOff>
      <xdr:row>105</xdr:row>
      <xdr:rowOff>175847</xdr:rowOff>
    </xdr:from>
    <xdr:ext cx="967153" cy="967153"/>
    <xdr:pic>
      <xdr:nvPicPr>
        <xdr:cNvPr id="479" name="Picture 478">
          <a:extLst>
            <a:ext uri="{FF2B5EF4-FFF2-40B4-BE49-F238E27FC236}">
              <a16:creationId xmlns:a16="http://schemas.microsoft.com/office/drawing/2014/main" id="{F3CAA700-DED3-479C-AD54-285B29E3F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27885" y="95682289"/>
          <a:ext cx="967153" cy="967153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56</xdr:row>
      <xdr:rowOff>29307</xdr:rowOff>
    </xdr:from>
    <xdr:ext cx="908550" cy="1041224"/>
    <xdr:pic>
      <xdr:nvPicPr>
        <xdr:cNvPr id="480" name="Picture 479">
          <a:extLst>
            <a:ext uri="{FF2B5EF4-FFF2-40B4-BE49-F238E27FC236}">
              <a16:creationId xmlns:a16="http://schemas.microsoft.com/office/drawing/2014/main" id="{DA8F8909-2A88-48D8-A791-AEF406D4D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1746" y="50966076"/>
          <a:ext cx="908550" cy="1041224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84</xdr:row>
      <xdr:rowOff>29307</xdr:rowOff>
    </xdr:from>
    <xdr:ext cx="908551" cy="1047643"/>
    <xdr:pic>
      <xdr:nvPicPr>
        <xdr:cNvPr id="481" name="Picture 480">
          <a:extLst>
            <a:ext uri="{FF2B5EF4-FFF2-40B4-BE49-F238E27FC236}">
              <a16:creationId xmlns:a16="http://schemas.microsoft.com/office/drawing/2014/main" id="{525946D1-0DB2-4235-B877-B9E0E2316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1746" y="76434461"/>
          <a:ext cx="908551" cy="1047643"/>
        </a:xfrm>
        <a:prstGeom prst="rect">
          <a:avLst/>
        </a:prstGeom>
      </xdr:spPr>
    </xdr:pic>
    <xdr:clientData/>
  </xdr:oneCellAnchor>
  <xdr:oneCellAnchor>
    <xdr:from>
      <xdr:col>0</xdr:col>
      <xdr:colOff>71939</xdr:colOff>
      <xdr:row>98</xdr:row>
      <xdr:rowOff>29307</xdr:rowOff>
    </xdr:from>
    <xdr:ext cx="908551" cy="1042529"/>
    <xdr:pic>
      <xdr:nvPicPr>
        <xdr:cNvPr id="482" name="Picture 481">
          <a:extLst>
            <a:ext uri="{FF2B5EF4-FFF2-40B4-BE49-F238E27FC236}">
              <a16:creationId xmlns:a16="http://schemas.microsoft.com/office/drawing/2014/main" id="{B6373B2F-1A8C-4B68-9E7F-93167A762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1747" y="89168653"/>
          <a:ext cx="908551" cy="1042529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112</xdr:row>
      <xdr:rowOff>55143</xdr:rowOff>
    </xdr:from>
    <xdr:ext cx="908550" cy="1044793"/>
    <xdr:pic>
      <xdr:nvPicPr>
        <xdr:cNvPr id="483" name="Picture 482">
          <a:extLst>
            <a:ext uri="{FF2B5EF4-FFF2-40B4-BE49-F238E27FC236}">
              <a16:creationId xmlns:a16="http://schemas.microsoft.com/office/drawing/2014/main" id="{B7FC360E-3760-461A-8290-53C983FA1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1746" y="101928681"/>
          <a:ext cx="908550" cy="1044793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119</xdr:row>
      <xdr:rowOff>29306</xdr:rowOff>
    </xdr:from>
    <xdr:ext cx="908550" cy="1053701"/>
    <xdr:pic>
      <xdr:nvPicPr>
        <xdr:cNvPr id="484" name="Picture 483">
          <a:extLst>
            <a:ext uri="{FF2B5EF4-FFF2-40B4-BE49-F238E27FC236}">
              <a16:creationId xmlns:a16="http://schemas.microsoft.com/office/drawing/2014/main" id="{397B51E8-AA4E-4EA2-842C-64791F5A0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1746" y="108269941"/>
          <a:ext cx="908550" cy="1053701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126</xdr:row>
      <xdr:rowOff>29673</xdr:rowOff>
    </xdr:from>
    <xdr:ext cx="908550" cy="1032608"/>
    <xdr:pic>
      <xdr:nvPicPr>
        <xdr:cNvPr id="485" name="Picture 484">
          <a:extLst>
            <a:ext uri="{FF2B5EF4-FFF2-40B4-BE49-F238E27FC236}">
              <a16:creationId xmlns:a16="http://schemas.microsoft.com/office/drawing/2014/main" id="{DCC99AC4-E491-4168-A1C9-839CCDF7A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1746" y="114637404"/>
          <a:ext cx="908550" cy="1032608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133</xdr:row>
      <xdr:rowOff>29307</xdr:rowOff>
    </xdr:from>
    <xdr:ext cx="908550" cy="1033725"/>
    <xdr:pic>
      <xdr:nvPicPr>
        <xdr:cNvPr id="486" name="Picture 485">
          <a:extLst>
            <a:ext uri="{FF2B5EF4-FFF2-40B4-BE49-F238E27FC236}">
              <a16:creationId xmlns:a16="http://schemas.microsoft.com/office/drawing/2014/main" id="{46F27D6A-37FB-4CD4-A4F5-81C1DACE9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1746" y="121004134"/>
          <a:ext cx="908550" cy="1033725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154</xdr:row>
      <xdr:rowOff>29307</xdr:rowOff>
    </xdr:from>
    <xdr:ext cx="908550" cy="1030684"/>
    <xdr:pic>
      <xdr:nvPicPr>
        <xdr:cNvPr id="487" name="Picture 486">
          <a:extLst>
            <a:ext uri="{FF2B5EF4-FFF2-40B4-BE49-F238E27FC236}">
              <a16:creationId xmlns:a16="http://schemas.microsoft.com/office/drawing/2014/main" id="{8F19098F-1A1C-4D5B-B2C9-08C0DDD2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1746" y="140105422"/>
          <a:ext cx="908550" cy="1030684"/>
        </a:xfrm>
        <a:prstGeom prst="rect">
          <a:avLst/>
        </a:prstGeom>
      </xdr:spPr>
    </xdr:pic>
    <xdr:clientData/>
  </xdr:oneCellAnchor>
  <xdr:oneCellAnchor>
    <xdr:from>
      <xdr:col>0</xdr:col>
      <xdr:colOff>71939</xdr:colOff>
      <xdr:row>161</xdr:row>
      <xdr:rowOff>29307</xdr:rowOff>
    </xdr:from>
    <xdr:ext cx="908550" cy="1031646"/>
    <xdr:pic>
      <xdr:nvPicPr>
        <xdr:cNvPr id="488" name="Picture 487">
          <a:extLst>
            <a:ext uri="{FF2B5EF4-FFF2-40B4-BE49-F238E27FC236}">
              <a16:creationId xmlns:a16="http://schemas.microsoft.com/office/drawing/2014/main" id="{9902C9B5-6121-4E91-A368-69132ACA7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1747" y="146472519"/>
          <a:ext cx="908550" cy="1031646"/>
        </a:xfrm>
        <a:prstGeom prst="rect">
          <a:avLst/>
        </a:prstGeom>
      </xdr:spPr>
    </xdr:pic>
    <xdr:clientData/>
  </xdr:oneCellAnchor>
  <xdr:oneCellAnchor>
    <xdr:from>
      <xdr:col>0</xdr:col>
      <xdr:colOff>71939</xdr:colOff>
      <xdr:row>140</xdr:row>
      <xdr:rowOff>29308</xdr:rowOff>
    </xdr:from>
    <xdr:ext cx="908549" cy="1041000"/>
    <xdr:pic>
      <xdr:nvPicPr>
        <xdr:cNvPr id="489" name="Picture 488">
          <a:extLst>
            <a:ext uri="{FF2B5EF4-FFF2-40B4-BE49-F238E27FC236}">
              <a16:creationId xmlns:a16="http://schemas.microsoft.com/office/drawing/2014/main" id="{A4307B32-5067-4B88-A446-964ABCE1F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1747" y="127371231"/>
          <a:ext cx="908549" cy="1041000"/>
        </a:xfrm>
        <a:prstGeom prst="rect">
          <a:avLst/>
        </a:prstGeom>
      </xdr:spPr>
    </xdr:pic>
    <xdr:clientData/>
  </xdr:oneCellAnchor>
  <xdr:oneCellAnchor>
    <xdr:from>
      <xdr:col>0</xdr:col>
      <xdr:colOff>71940</xdr:colOff>
      <xdr:row>147</xdr:row>
      <xdr:rowOff>29308</xdr:rowOff>
    </xdr:from>
    <xdr:ext cx="908549" cy="1053944"/>
    <xdr:pic>
      <xdr:nvPicPr>
        <xdr:cNvPr id="490" name="Picture 489">
          <a:extLst>
            <a:ext uri="{FF2B5EF4-FFF2-40B4-BE49-F238E27FC236}">
              <a16:creationId xmlns:a16="http://schemas.microsoft.com/office/drawing/2014/main" id="{07AEC739-C1EF-4D64-BB94-9504B9ED8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1748" y="133738327"/>
          <a:ext cx="908549" cy="1053944"/>
        </a:xfrm>
        <a:prstGeom prst="rect">
          <a:avLst/>
        </a:prstGeom>
      </xdr:spPr>
    </xdr:pic>
    <xdr:clientData/>
  </xdr:oneCellAnchor>
  <xdr:oneCellAnchor>
    <xdr:from>
      <xdr:col>0</xdr:col>
      <xdr:colOff>71938</xdr:colOff>
      <xdr:row>168</xdr:row>
      <xdr:rowOff>29307</xdr:rowOff>
    </xdr:from>
    <xdr:ext cx="908548" cy="1041068"/>
    <xdr:pic>
      <xdr:nvPicPr>
        <xdr:cNvPr id="491" name="Picture 490">
          <a:extLst>
            <a:ext uri="{FF2B5EF4-FFF2-40B4-BE49-F238E27FC236}">
              <a16:creationId xmlns:a16="http://schemas.microsoft.com/office/drawing/2014/main" id="{9664648F-2EA6-4344-B7B1-532F0EE10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1746" y="152839615"/>
          <a:ext cx="908548" cy="1041068"/>
        </a:xfrm>
        <a:prstGeom prst="rect">
          <a:avLst/>
        </a:prstGeom>
      </xdr:spPr>
    </xdr:pic>
    <xdr:clientData/>
  </xdr:oneCellAnchor>
  <xdr:oneCellAnchor>
    <xdr:from>
      <xdr:col>0</xdr:col>
      <xdr:colOff>75833</xdr:colOff>
      <xdr:row>182</xdr:row>
      <xdr:rowOff>29307</xdr:rowOff>
    </xdr:from>
    <xdr:ext cx="907771" cy="1033396"/>
    <xdr:pic>
      <xdr:nvPicPr>
        <xdr:cNvPr id="492" name="Picture 491">
          <a:extLst>
            <a:ext uri="{FF2B5EF4-FFF2-40B4-BE49-F238E27FC236}">
              <a16:creationId xmlns:a16="http://schemas.microsoft.com/office/drawing/2014/main" id="{C0888F50-782C-4CA3-A9AC-954D505D2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5641" y="165573807"/>
          <a:ext cx="907771" cy="1033396"/>
        </a:xfrm>
        <a:prstGeom prst="rect">
          <a:avLst/>
        </a:prstGeom>
      </xdr:spPr>
    </xdr:pic>
    <xdr:clientData/>
  </xdr:oneCellAnchor>
  <xdr:oneCellAnchor>
    <xdr:from>
      <xdr:col>0</xdr:col>
      <xdr:colOff>71939</xdr:colOff>
      <xdr:row>175</xdr:row>
      <xdr:rowOff>29307</xdr:rowOff>
    </xdr:from>
    <xdr:ext cx="908549" cy="1041270"/>
    <xdr:pic>
      <xdr:nvPicPr>
        <xdr:cNvPr id="493" name="Picture 492">
          <a:extLst>
            <a:ext uri="{FF2B5EF4-FFF2-40B4-BE49-F238E27FC236}">
              <a16:creationId xmlns:a16="http://schemas.microsoft.com/office/drawing/2014/main" id="{F6935C28-6FE5-4D46-9671-EED706E17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1747" y="159206711"/>
          <a:ext cx="908549" cy="1041270"/>
        </a:xfrm>
        <a:prstGeom prst="rect">
          <a:avLst/>
        </a:prstGeom>
      </xdr:spPr>
    </xdr:pic>
    <xdr:clientData/>
  </xdr:oneCellAnchor>
  <xdr:oneCellAnchor>
    <xdr:from>
      <xdr:col>0</xdr:col>
      <xdr:colOff>71939</xdr:colOff>
      <xdr:row>189</xdr:row>
      <xdr:rowOff>29307</xdr:rowOff>
    </xdr:from>
    <xdr:ext cx="908549" cy="1034523"/>
    <xdr:pic>
      <xdr:nvPicPr>
        <xdr:cNvPr id="494" name="Picture 493">
          <a:extLst>
            <a:ext uri="{FF2B5EF4-FFF2-40B4-BE49-F238E27FC236}">
              <a16:creationId xmlns:a16="http://schemas.microsoft.com/office/drawing/2014/main" id="{174F22E3-96D6-4439-A70A-6DCA797F7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91747" y="171940903"/>
          <a:ext cx="908549" cy="1034523"/>
        </a:xfrm>
        <a:prstGeom prst="rect">
          <a:avLst/>
        </a:prstGeom>
      </xdr:spPr>
    </xdr:pic>
    <xdr:clientData/>
  </xdr:oneCellAnchor>
  <xdr:oneCellAnchor>
    <xdr:from>
      <xdr:col>0</xdr:col>
      <xdr:colOff>36635</xdr:colOff>
      <xdr:row>105</xdr:row>
      <xdr:rowOff>175847</xdr:rowOff>
    </xdr:from>
    <xdr:ext cx="967153" cy="967153"/>
    <xdr:pic>
      <xdr:nvPicPr>
        <xdr:cNvPr id="495" name="Picture 494">
          <a:extLst>
            <a:ext uri="{FF2B5EF4-FFF2-40B4-BE49-F238E27FC236}">
              <a16:creationId xmlns:a16="http://schemas.microsoft.com/office/drawing/2014/main" id="{154657F9-C67D-4D13-889F-47D7DE16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6443" y="95682289"/>
          <a:ext cx="967153" cy="9671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71938</xdr:colOff>
      <xdr:row>0</xdr:row>
      <xdr:rowOff>29307</xdr:rowOff>
    </xdr:from>
    <xdr:to>
      <xdr:col>0</xdr:col>
      <xdr:colOff>1162379</xdr:colOff>
      <xdr:row>0</xdr:row>
      <xdr:rowOff>1042754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38" y="29307"/>
          <a:ext cx="1090441" cy="1013447"/>
        </a:xfrm>
        <a:prstGeom prst="rect">
          <a:avLst/>
        </a:prstGeom>
      </xdr:spPr>
    </xdr:pic>
    <xdr:clientData/>
  </xdr:twoCellAnchor>
  <xdr:twoCellAnchor editAs="oneCell">
    <xdr:from>
      <xdr:col>1</xdr:col>
      <xdr:colOff>71938</xdr:colOff>
      <xdr:row>7</xdr:row>
      <xdr:rowOff>29673</xdr:rowOff>
    </xdr:from>
    <xdr:to>
      <xdr:col>1</xdr:col>
      <xdr:colOff>1123363</xdr:colOff>
      <xdr:row>7</xdr:row>
      <xdr:rowOff>1069676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384" y="6934565"/>
          <a:ext cx="1047615" cy="1040003"/>
        </a:xfrm>
        <a:prstGeom prst="rect">
          <a:avLst/>
        </a:prstGeom>
      </xdr:spPr>
    </xdr:pic>
    <xdr:clientData/>
  </xdr:twoCellAnchor>
  <xdr:twoCellAnchor>
    <xdr:from>
      <xdr:col>1</xdr:col>
      <xdr:colOff>71938</xdr:colOff>
      <xdr:row>0</xdr:row>
      <xdr:rowOff>29306</xdr:rowOff>
    </xdr:from>
    <xdr:to>
      <xdr:col>2</xdr:col>
      <xdr:colOff>17243</xdr:colOff>
      <xdr:row>0</xdr:row>
      <xdr:rowOff>1036921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384" y="29306"/>
          <a:ext cx="1111751" cy="1007615"/>
        </a:xfrm>
        <a:prstGeom prst="rect">
          <a:avLst/>
        </a:prstGeom>
      </xdr:spPr>
    </xdr:pic>
    <xdr:clientData/>
  </xdr:twoCellAnchor>
  <xdr:twoCellAnchor editAs="oneCell">
    <xdr:from>
      <xdr:col>4</xdr:col>
      <xdr:colOff>71939</xdr:colOff>
      <xdr:row>0</xdr:row>
      <xdr:rowOff>29307</xdr:rowOff>
    </xdr:from>
    <xdr:to>
      <xdr:col>4</xdr:col>
      <xdr:colOff>1123363</xdr:colOff>
      <xdr:row>0</xdr:row>
      <xdr:rowOff>1067224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05031" y="29307"/>
          <a:ext cx="1047614" cy="1037917"/>
        </a:xfrm>
        <a:prstGeom prst="rect">
          <a:avLst/>
        </a:prstGeom>
      </xdr:spPr>
    </xdr:pic>
    <xdr:clientData/>
  </xdr:twoCellAnchor>
  <xdr:twoCellAnchor editAs="oneCell">
    <xdr:from>
      <xdr:col>4</xdr:col>
      <xdr:colOff>71938</xdr:colOff>
      <xdr:row>6</xdr:row>
      <xdr:rowOff>308965</xdr:rowOff>
    </xdr:from>
    <xdr:to>
      <xdr:col>4</xdr:col>
      <xdr:colOff>1123363</xdr:colOff>
      <xdr:row>7</xdr:row>
      <xdr:rowOff>1031504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05030" y="6885611"/>
          <a:ext cx="1047615" cy="1050784"/>
        </a:xfrm>
        <a:prstGeom prst="rect">
          <a:avLst/>
        </a:prstGeom>
      </xdr:spPr>
    </xdr:pic>
    <xdr:clientData/>
  </xdr:twoCellAnchor>
  <xdr:twoCellAnchor editAs="oneCell">
    <xdr:from>
      <xdr:col>7</xdr:col>
      <xdr:colOff>71937</xdr:colOff>
      <xdr:row>0</xdr:row>
      <xdr:rowOff>29307</xdr:rowOff>
    </xdr:from>
    <xdr:to>
      <xdr:col>7</xdr:col>
      <xdr:colOff>1123362</xdr:colOff>
      <xdr:row>0</xdr:row>
      <xdr:rowOff>1078892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71675" y="29307"/>
          <a:ext cx="1047615" cy="1043870"/>
        </a:xfrm>
        <a:prstGeom prst="rect">
          <a:avLst/>
        </a:prstGeom>
      </xdr:spPr>
    </xdr:pic>
    <xdr:clientData/>
  </xdr:twoCellAnchor>
  <xdr:twoCellAnchor editAs="oneCell">
    <xdr:from>
      <xdr:col>7</xdr:col>
      <xdr:colOff>71937</xdr:colOff>
      <xdr:row>7</xdr:row>
      <xdr:rowOff>29307</xdr:rowOff>
    </xdr:from>
    <xdr:to>
      <xdr:col>7</xdr:col>
      <xdr:colOff>1123362</xdr:colOff>
      <xdr:row>7</xdr:row>
      <xdr:rowOff>1083494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71675" y="6934199"/>
          <a:ext cx="1047615" cy="1046567"/>
        </a:xfrm>
        <a:prstGeom prst="rect">
          <a:avLst/>
        </a:prstGeom>
      </xdr:spPr>
    </xdr:pic>
    <xdr:clientData/>
  </xdr:twoCellAnchor>
  <xdr:twoCellAnchor>
    <xdr:from>
      <xdr:col>10</xdr:col>
      <xdr:colOff>71938</xdr:colOff>
      <xdr:row>0</xdr:row>
      <xdr:rowOff>29307</xdr:rowOff>
    </xdr:from>
    <xdr:to>
      <xdr:col>10</xdr:col>
      <xdr:colOff>1119551</xdr:colOff>
      <xdr:row>0</xdr:row>
      <xdr:rowOff>1053681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38323" y="29307"/>
          <a:ext cx="1047613" cy="1024374"/>
        </a:xfrm>
        <a:prstGeom prst="rect">
          <a:avLst/>
        </a:prstGeom>
      </xdr:spPr>
    </xdr:pic>
    <xdr:clientData/>
  </xdr:twoCellAnchor>
  <xdr:twoCellAnchor editAs="oneCell">
    <xdr:from>
      <xdr:col>10</xdr:col>
      <xdr:colOff>74968</xdr:colOff>
      <xdr:row>7</xdr:row>
      <xdr:rowOff>29308</xdr:rowOff>
    </xdr:from>
    <xdr:to>
      <xdr:col>10</xdr:col>
      <xdr:colOff>1126393</xdr:colOff>
      <xdr:row>7</xdr:row>
      <xdr:rowOff>1065348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41353" y="6934200"/>
          <a:ext cx="1047615" cy="1036040"/>
        </a:xfrm>
        <a:prstGeom prst="rect">
          <a:avLst/>
        </a:prstGeom>
      </xdr:spPr>
    </xdr:pic>
    <xdr:clientData/>
  </xdr:twoCellAnchor>
  <xdr:twoCellAnchor editAs="oneCell">
    <xdr:from>
      <xdr:col>0</xdr:col>
      <xdr:colOff>71938</xdr:colOff>
      <xdr:row>7</xdr:row>
      <xdr:rowOff>29673</xdr:rowOff>
    </xdr:from>
    <xdr:to>
      <xdr:col>0</xdr:col>
      <xdr:colOff>1126083</xdr:colOff>
      <xdr:row>7</xdr:row>
      <xdr:rowOff>1067786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938" y="6934565"/>
          <a:ext cx="1050335" cy="1038113"/>
        </a:xfrm>
        <a:prstGeom prst="rect">
          <a:avLst/>
        </a:prstGeom>
      </xdr:spPr>
    </xdr:pic>
    <xdr:clientData/>
  </xdr:twoCellAnchor>
  <xdr:twoCellAnchor editAs="oneCell">
    <xdr:from>
      <xdr:col>3</xdr:col>
      <xdr:colOff>71939</xdr:colOff>
      <xdr:row>0</xdr:row>
      <xdr:rowOff>29306</xdr:rowOff>
    </xdr:from>
    <xdr:to>
      <xdr:col>3</xdr:col>
      <xdr:colOff>1123364</xdr:colOff>
      <xdr:row>0</xdr:row>
      <xdr:rowOff>1056304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38585" y="29306"/>
          <a:ext cx="1047615" cy="1032713"/>
        </a:xfrm>
        <a:prstGeom prst="rect">
          <a:avLst/>
        </a:prstGeom>
      </xdr:spPr>
    </xdr:pic>
    <xdr:clientData/>
  </xdr:twoCellAnchor>
  <xdr:twoCellAnchor editAs="oneCell">
    <xdr:from>
      <xdr:col>3</xdr:col>
      <xdr:colOff>71938</xdr:colOff>
      <xdr:row>6</xdr:row>
      <xdr:rowOff>323920</xdr:rowOff>
    </xdr:from>
    <xdr:to>
      <xdr:col>3</xdr:col>
      <xdr:colOff>1126082</xdr:colOff>
      <xdr:row>7</xdr:row>
      <xdr:rowOff>1038745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38584" y="6900566"/>
          <a:ext cx="1050334" cy="1037355"/>
        </a:xfrm>
        <a:prstGeom prst="rect">
          <a:avLst/>
        </a:prstGeom>
      </xdr:spPr>
    </xdr:pic>
    <xdr:clientData/>
  </xdr:twoCellAnchor>
  <xdr:twoCellAnchor editAs="oneCell">
    <xdr:from>
      <xdr:col>6</xdr:col>
      <xdr:colOff>71938</xdr:colOff>
      <xdr:row>0</xdr:row>
      <xdr:rowOff>29307</xdr:rowOff>
    </xdr:from>
    <xdr:to>
      <xdr:col>6</xdr:col>
      <xdr:colOff>1123363</xdr:colOff>
      <xdr:row>0</xdr:row>
      <xdr:rowOff>1070531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05230" y="29307"/>
          <a:ext cx="1047615" cy="1041224"/>
        </a:xfrm>
        <a:prstGeom prst="rect">
          <a:avLst/>
        </a:prstGeom>
      </xdr:spPr>
    </xdr:pic>
    <xdr:clientData/>
  </xdr:twoCellAnchor>
  <xdr:twoCellAnchor editAs="oneCell">
    <xdr:from>
      <xdr:col>6</xdr:col>
      <xdr:colOff>71939</xdr:colOff>
      <xdr:row>7</xdr:row>
      <xdr:rowOff>29674</xdr:rowOff>
    </xdr:from>
    <xdr:to>
      <xdr:col>6</xdr:col>
      <xdr:colOff>1123363</xdr:colOff>
      <xdr:row>7</xdr:row>
      <xdr:rowOff>1066941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05231" y="6934566"/>
          <a:ext cx="1047614" cy="1037267"/>
        </a:xfrm>
        <a:prstGeom prst="rect">
          <a:avLst/>
        </a:prstGeom>
      </xdr:spPr>
    </xdr:pic>
    <xdr:clientData/>
  </xdr:twoCellAnchor>
  <xdr:twoCellAnchor editAs="oneCell">
    <xdr:from>
      <xdr:col>9</xdr:col>
      <xdr:colOff>71938</xdr:colOff>
      <xdr:row>0</xdr:row>
      <xdr:rowOff>29307</xdr:rowOff>
    </xdr:from>
    <xdr:to>
      <xdr:col>9</xdr:col>
      <xdr:colOff>1123364</xdr:colOff>
      <xdr:row>0</xdr:row>
      <xdr:rowOff>1076950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371876" y="29307"/>
          <a:ext cx="1047616" cy="1041928"/>
        </a:xfrm>
        <a:prstGeom prst="rect">
          <a:avLst/>
        </a:prstGeom>
      </xdr:spPr>
    </xdr:pic>
    <xdr:clientData/>
  </xdr:twoCellAnchor>
  <xdr:twoCellAnchor editAs="oneCell">
    <xdr:from>
      <xdr:col>9</xdr:col>
      <xdr:colOff>71939</xdr:colOff>
      <xdr:row>7</xdr:row>
      <xdr:rowOff>29307</xdr:rowOff>
    </xdr:from>
    <xdr:to>
      <xdr:col>9</xdr:col>
      <xdr:colOff>1123365</xdr:colOff>
      <xdr:row>7</xdr:row>
      <xdr:rowOff>1065032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371877" y="6934199"/>
          <a:ext cx="1047616" cy="1035725"/>
        </a:xfrm>
        <a:prstGeom prst="rect">
          <a:avLst/>
        </a:prstGeom>
      </xdr:spPr>
    </xdr:pic>
    <xdr:clientData/>
  </xdr:twoCellAnchor>
  <xdr:twoCellAnchor editAs="oneCell">
    <xdr:from>
      <xdr:col>12</xdr:col>
      <xdr:colOff>71938</xdr:colOff>
      <xdr:row>0</xdr:row>
      <xdr:rowOff>55143</xdr:rowOff>
    </xdr:from>
    <xdr:to>
      <xdr:col>12</xdr:col>
      <xdr:colOff>1123363</xdr:colOff>
      <xdr:row>0</xdr:row>
      <xdr:rowOff>1104266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138523" y="55143"/>
          <a:ext cx="1047615" cy="1049123"/>
        </a:xfrm>
        <a:prstGeom prst="rect">
          <a:avLst/>
        </a:prstGeom>
      </xdr:spPr>
    </xdr:pic>
    <xdr:clientData/>
  </xdr:twoCellAnchor>
  <xdr:twoCellAnchor editAs="oneCell">
    <xdr:from>
      <xdr:col>12</xdr:col>
      <xdr:colOff>71938</xdr:colOff>
      <xdr:row>7</xdr:row>
      <xdr:rowOff>29673</xdr:rowOff>
    </xdr:from>
    <xdr:to>
      <xdr:col>12</xdr:col>
      <xdr:colOff>1123363</xdr:colOff>
      <xdr:row>7</xdr:row>
      <xdr:rowOff>1066611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138523" y="6934565"/>
          <a:ext cx="1047615" cy="1036938"/>
        </a:xfrm>
        <a:prstGeom prst="rect">
          <a:avLst/>
        </a:prstGeom>
      </xdr:spPr>
    </xdr:pic>
    <xdr:clientData/>
  </xdr:twoCellAnchor>
  <xdr:twoCellAnchor editAs="oneCell">
    <xdr:from>
      <xdr:col>15</xdr:col>
      <xdr:colOff>71939</xdr:colOff>
      <xdr:row>0</xdr:row>
      <xdr:rowOff>29308</xdr:rowOff>
    </xdr:from>
    <xdr:to>
      <xdr:col>15</xdr:col>
      <xdr:colOff>1123363</xdr:colOff>
      <xdr:row>0</xdr:row>
      <xdr:rowOff>1070308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752770" y="29308"/>
          <a:ext cx="1047614" cy="1041000"/>
        </a:xfrm>
        <a:prstGeom prst="rect">
          <a:avLst/>
        </a:prstGeom>
      </xdr:spPr>
    </xdr:pic>
    <xdr:clientData/>
  </xdr:twoCellAnchor>
  <xdr:twoCellAnchor editAs="oneCell">
    <xdr:from>
      <xdr:col>15</xdr:col>
      <xdr:colOff>71938</xdr:colOff>
      <xdr:row>7</xdr:row>
      <xdr:rowOff>29307</xdr:rowOff>
    </xdr:from>
    <xdr:to>
      <xdr:col>15</xdr:col>
      <xdr:colOff>1123363</xdr:colOff>
      <xdr:row>7</xdr:row>
      <xdr:rowOff>1064321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752769" y="6934199"/>
          <a:ext cx="1047615" cy="1035014"/>
        </a:xfrm>
        <a:prstGeom prst="rect">
          <a:avLst/>
        </a:prstGeom>
      </xdr:spPr>
    </xdr:pic>
    <xdr:clientData/>
  </xdr:twoCellAnchor>
  <xdr:twoCellAnchor editAs="oneCell">
    <xdr:from>
      <xdr:col>18</xdr:col>
      <xdr:colOff>71938</xdr:colOff>
      <xdr:row>0</xdr:row>
      <xdr:rowOff>29307</xdr:rowOff>
    </xdr:from>
    <xdr:to>
      <xdr:col>18</xdr:col>
      <xdr:colOff>1123361</xdr:colOff>
      <xdr:row>0</xdr:row>
      <xdr:rowOff>1070375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519415" y="29307"/>
          <a:ext cx="1047613" cy="1041068"/>
        </a:xfrm>
        <a:prstGeom prst="rect">
          <a:avLst/>
        </a:prstGeom>
      </xdr:spPr>
    </xdr:pic>
    <xdr:clientData/>
  </xdr:twoCellAnchor>
  <xdr:twoCellAnchor editAs="oneCell">
    <xdr:from>
      <xdr:col>18</xdr:col>
      <xdr:colOff>75833</xdr:colOff>
      <xdr:row>7</xdr:row>
      <xdr:rowOff>29307</xdr:rowOff>
    </xdr:from>
    <xdr:to>
      <xdr:col>18</xdr:col>
      <xdr:colOff>1126479</xdr:colOff>
      <xdr:row>7</xdr:row>
      <xdr:rowOff>1067033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523310" y="6934199"/>
          <a:ext cx="1046836" cy="1037726"/>
        </a:xfrm>
        <a:prstGeom prst="rect">
          <a:avLst/>
        </a:prstGeom>
      </xdr:spPr>
    </xdr:pic>
    <xdr:clientData/>
  </xdr:twoCellAnchor>
  <xdr:twoCellAnchor editAs="oneCell">
    <xdr:from>
      <xdr:col>13</xdr:col>
      <xdr:colOff>71938</xdr:colOff>
      <xdr:row>0</xdr:row>
      <xdr:rowOff>29306</xdr:rowOff>
    </xdr:from>
    <xdr:to>
      <xdr:col>13</xdr:col>
      <xdr:colOff>1123363</xdr:colOff>
      <xdr:row>0</xdr:row>
      <xdr:rowOff>1083007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304969" y="29306"/>
          <a:ext cx="1047615" cy="1046081"/>
        </a:xfrm>
        <a:prstGeom prst="rect">
          <a:avLst/>
        </a:prstGeom>
      </xdr:spPr>
    </xdr:pic>
    <xdr:clientData/>
  </xdr:twoCellAnchor>
  <xdr:twoCellAnchor editAs="oneCell">
    <xdr:from>
      <xdr:col>13</xdr:col>
      <xdr:colOff>71938</xdr:colOff>
      <xdr:row>7</xdr:row>
      <xdr:rowOff>29307</xdr:rowOff>
    </xdr:from>
    <xdr:to>
      <xdr:col>13</xdr:col>
      <xdr:colOff>1123363</xdr:colOff>
      <xdr:row>7</xdr:row>
      <xdr:rowOff>1067362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304969" y="6934199"/>
          <a:ext cx="1047615" cy="1038055"/>
        </a:xfrm>
        <a:prstGeom prst="rect">
          <a:avLst/>
        </a:prstGeom>
      </xdr:spPr>
    </xdr:pic>
    <xdr:clientData/>
  </xdr:twoCellAnchor>
  <xdr:twoCellAnchor editAs="oneCell">
    <xdr:from>
      <xdr:col>16</xdr:col>
      <xdr:colOff>71940</xdr:colOff>
      <xdr:row>0</xdr:row>
      <xdr:rowOff>29308</xdr:rowOff>
    </xdr:from>
    <xdr:to>
      <xdr:col>16</xdr:col>
      <xdr:colOff>1123364</xdr:colOff>
      <xdr:row>0</xdr:row>
      <xdr:rowOff>1083252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919217" y="29308"/>
          <a:ext cx="1047614" cy="1046324"/>
        </a:xfrm>
        <a:prstGeom prst="rect">
          <a:avLst/>
        </a:prstGeom>
      </xdr:spPr>
    </xdr:pic>
    <xdr:clientData/>
  </xdr:twoCellAnchor>
  <xdr:twoCellAnchor editAs="oneCell">
    <xdr:from>
      <xdr:col>16</xdr:col>
      <xdr:colOff>71939</xdr:colOff>
      <xdr:row>7</xdr:row>
      <xdr:rowOff>29307</xdr:rowOff>
    </xdr:from>
    <xdr:to>
      <xdr:col>16</xdr:col>
      <xdr:colOff>1123364</xdr:colOff>
      <xdr:row>7</xdr:row>
      <xdr:rowOff>1065283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919216" y="6934199"/>
          <a:ext cx="1047615" cy="1035976"/>
        </a:xfrm>
        <a:prstGeom prst="rect">
          <a:avLst/>
        </a:prstGeom>
      </xdr:spPr>
    </xdr:pic>
    <xdr:clientData/>
  </xdr:twoCellAnchor>
  <xdr:twoCellAnchor editAs="oneCell">
    <xdr:from>
      <xdr:col>19</xdr:col>
      <xdr:colOff>71939</xdr:colOff>
      <xdr:row>0</xdr:row>
      <xdr:rowOff>29307</xdr:rowOff>
    </xdr:from>
    <xdr:to>
      <xdr:col>19</xdr:col>
      <xdr:colOff>1123363</xdr:colOff>
      <xdr:row>0</xdr:row>
      <xdr:rowOff>1070577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685862" y="29307"/>
          <a:ext cx="1047614" cy="1041270"/>
        </a:xfrm>
        <a:prstGeom prst="rect">
          <a:avLst/>
        </a:prstGeom>
      </xdr:spPr>
    </xdr:pic>
    <xdr:clientData/>
  </xdr:twoCellAnchor>
  <xdr:twoCellAnchor editAs="oneCell">
    <xdr:from>
      <xdr:col>19</xdr:col>
      <xdr:colOff>71939</xdr:colOff>
      <xdr:row>7</xdr:row>
      <xdr:rowOff>29307</xdr:rowOff>
    </xdr:from>
    <xdr:to>
      <xdr:col>19</xdr:col>
      <xdr:colOff>1123363</xdr:colOff>
      <xdr:row>7</xdr:row>
      <xdr:rowOff>1068160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7685862" y="6934199"/>
          <a:ext cx="1047614" cy="103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workbookViewId="0">
      <selection activeCell="G1" sqref="G1:L1048576"/>
    </sheetView>
  </sheetViews>
  <sheetFormatPr defaultColWidth="9.33203125" defaultRowHeight="13.2"/>
  <cols>
    <col min="1" max="1" width="15.109375" style="4" customWidth="1"/>
    <col min="2" max="2" width="16.109375" style="4" customWidth="1"/>
    <col min="3" max="3" width="15.109375" style="4" customWidth="1"/>
    <col min="4" max="4" width="16.109375" style="4" customWidth="1"/>
    <col min="5" max="5" width="15.109375" style="4" customWidth="1"/>
    <col min="6" max="6" width="16.109375" style="4" customWidth="1"/>
    <col min="7" max="7" width="15.109375" style="4" customWidth="1"/>
    <col min="8" max="8" width="16.109375" style="4" customWidth="1"/>
    <col min="9" max="9" width="15.109375" style="4" customWidth="1"/>
    <col min="10" max="10" width="16.109375" style="4" customWidth="1"/>
    <col min="11" max="11" width="15.109375" style="4" customWidth="1"/>
    <col min="12" max="12" width="16.109375" style="4" customWidth="1"/>
    <col min="13" max="14" width="9.33203125" style="4"/>
    <col min="15" max="15" width="12.44140625" style="4" bestFit="1" customWidth="1"/>
    <col min="16" max="16384" width="9.33203125" style="4"/>
  </cols>
  <sheetData>
    <row r="1" spans="1:24" ht="36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5</v>
      </c>
      <c r="G1" s="1" t="str">
        <f ca="1">O1&amp;T1</f>
        <v>Aa</v>
      </c>
      <c r="H1" s="1" t="str">
        <f t="shared" ref="H1:K1" ca="1" si="0">P1&amp;U1</f>
        <v>Pp</v>
      </c>
      <c r="I1" s="1" t="str">
        <f t="shared" ca="1" si="0"/>
        <v>Tt</v>
      </c>
      <c r="J1" s="1" t="str">
        <f t="shared" ca="1" si="0"/>
        <v>Ii</v>
      </c>
      <c r="K1" s="1" t="str">
        <f t="shared" ca="1" si="0"/>
        <v>Nn</v>
      </c>
      <c r="L1" s="3">
        <v>5</v>
      </c>
      <c r="O1" s="40" t="str">
        <f t="shared" ref="O1:R1" ca="1" si="1">TRANSPOSE(MID(A1,LEN(A1)-ROW(INDIRECT("1:"&amp;LEN(A1)))+1,1))</f>
        <v>A</v>
      </c>
      <c r="P1" s="40" t="str">
        <f t="shared" ca="1" si="1"/>
        <v>P</v>
      </c>
      <c r="Q1" s="40" t="str">
        <f t="shared" ca="1" si="1"/>
        <v>T</v>
      </c>
      <c r="R1" s="40" t="str">
        <f t="shared" ca="1" si="1"/>
        <v>I</v>
      </c>
      <c r="S1" s="40" t="str">
        <f t="shared" ref="S1" ca="1" si="2">TRANSPOSE(MID(E1,LEN(E1)-ROW(INDIRECT("1:"&amp;LEN(E1)))+1,1))</f>
        <v>N</v>
      </c>
      <c r="T1" s="40" t="str">
        <f ca="1">LOWER(O1)</f>
        <v>a</v>
      </c>
      <c r="U1" s="40" t="str">
        <f t="shared" ref="U1:X1" ca="1" si="3">LOWER(P1)</f>
        <v>p</v>
      </c>
      <c r="V1" s="40" t="str">
        <f t="shared" ca="1" si="3"/>
        <v>t</v>
      </c>
      <c r="W1" s="40" t="str">
        <f t="shared" ca="1" si="3"/>
        <v>i</v>
      </c>
      <c r="X1" s="40" t="str">
        <f t="shared" ca="1" si="3"/>
        <v>n</v>
      </c>
    </row>
    <row r="2" spans="1:24" ht="39.9" customHeight="1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2">
        <v>10</v>
      </c>
      <c r="G2" s="5" t="str">
        <f t="shared" ref="G2:G5" ca="1" si="4">O2&amp;T2</f>
        <v>Ss</v>
      </c>
      <c r="H2" s="5" t="str">
        <f t="shared" ref="H2:H5" ca="1" si="5">P2&amp;U2</f>
        <v>Mm</v>
      </c>
      <c r="I2" s="5" t="str">
        <f t="shared" ref="I2:I5" ca="1" si="6">Q2&amp;V2</f>
        <v>Oo</v>
      </c>
      <c r="J2" s="5" t="str">
        <f t="shared" ref="J2:J5" ca="1" si="7">R2&amp;W2</f>
        <v>Bb</v>
      </c>
      <c r="K2" s="5" t="str">
        <f t="shared" ref="K2:K5" ca="1" si="8">S2&amp;X2</f>
        <v>Cc</v>
      </c>
      <c r="L2" s="2">
        <v>10</v>
      </c>
      <c r="O2" s="40" t="str">
        <f t="shared" ref="O2:P3" ca="1" si="9">TRANSPOSE(MID(A2,LEN(A2)-ROW(INDIRECT("1:"&amp;LEN(A2)))+1,1))</f>
        <v>S</v>
      </c>
      <c r="P2" s="40" t="str">
        <f t="shared" ca="1" si="9"/>
        <v>M</v>
      </c>
      <c r="Q2" s="40" t="str">
        <f t="shared" ref="Q2:Q3" ca="1" si="10">TRANSPOSE(MID(C2,LEN(C2)-ROW(INDIRECT("1:"&amp;LEN(C2)))+1,1))</f>
        <v>O</v>
      </c>
      <c r="R2" s="40" t="str">
        <f t="shared" ref="R2:R3" ca="1" si="11">TRANSPOSE(MID(D2,LEN(D2)-ROW(INDIRECT("1:"&amp;LEN(D2)))+1,1))</f>
        <v>B</v>
      </c>
      <c r="S2" s="40" t="str">
        <f t="shared" ref="S2:S3" ca="1" si="12">TRANSPOSE(MID(E2,LEN(E2)-ROW(INDIRECT("1:"&amp;LEN(E2)))+1,1))</f>
        <v>C</v>
      </c>
      <c r="T2" s="40" t="str">
        <f t="shared" ref="T2:T5" ca="1" si="13">LOWER(O2)</f>
        <v>s</v>
      </c>
      <c r="U2" s="40" t="str">
        <f t="shared" ref="U2:U5" ca="1" si="14">LOWER(P2)</f>
        <v>m</v>
      </c>
      <c r="V2" s="40" t="str">
        <f t="shared" ref="V2:V5" ca="1" si="15">LOWER(Q2)</f>
        <v>o</v>
      </c>
      <c r="W2" s="40" t="str">
        <f t="shared" ref="W2:W5" ca="1" si="16">LOWER(R2)</f>
        <v>b</v>
      </c>
      <c r="X2" s="40" t="str">
        <f t="shared" ref="X2:X5" ca="1" si="17">LOWER(S2)</f>
        <v>c</v>
      </c>
    </row>
    <row r="3" spans="1:24" ht="39.9" customHeight="1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2">
        <v>15</v>
      </c>
      <c r="G3" s="6" t="str">
        <f t="shared" ca="1" si="4"/>
        <v>Gg</v>
      </c>
      <c r="H3" s="6" t="str">
        <f t="shared" ca="1" si="5"/>
        <v>Hh</v>
      </c>
      <c r="I3" s="6" t="str">
        <f t="shared" ca="1" si="6"/>
        <v>Kk</v>
      </c>
      <c r="J3" s="6" t="str">
        <f t="shared" ca="1" si="7"/>
        <v>Dd</v>
      </c>
      <c r="K3" s="6" t="str">
        <f t="shared" ca="1" si="8"/>
        <v>Ee</v>
      </c>
      <c r="L3" s="2">
        <v>15</v>
      </c>
      <c r="O3" s="40" t="str">
        <f t="shared" ref="O3:O14" ca="1" si="18">TRANSPOSE(MID(A3,LEN(A3)-ROW(INDIRECT("1:"&amp;LEN(A3)))+1,1))</f>
        <v>G</v>
      </c>
      <c r="P3" s="40" t="str">
        <f t="shared" ca="1" si="9"/>
        <v>H</v>
      </c>
      <c r="Q3" s="40" t="str">
        <f t="shared" ca="1" si="10"/>
        <v>K</v>
      </c>
      <c r="R3" s="40" t="str">
        <f t="shared" ca="1" si="11"/>
        <v>D</v>
      </c>
      <c r="S3" s="40" t="str">
        <f t="shared" ca="1" si="12"/>
        <v>E</v>
      </c>
      <c r="T3" s="40" t="str">
        <f t="shared" ca="1" si="13"/>
        <v>g</v>
      </c>
      <c r="U3" s="40" t="str">
        <f t="shared" ca="1" si="14"/>
        <v>h</v>
      </c>
      <c r="V3" s="40" t="str">
        <f t="shared" ca="1" si="15"/>
        <v>k</v>
      </c>
      <c r="W3" s="40" t="str">
        <f t="shared" ca="1" si="16"/>
        <v>d</v>
      </c>
      <c r="X3" s="40" t="str">
        <f t="shared" ca="1" si="17"/>
        <v>e</v>
      </c>
    </row>
    <row r="4" spans="1:24" ht="39.9" customHeight="1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2">
        <v>20</v>
      </c>
      <c r="G4" s="7" t="str">
        <f t="shared" ca="1" si="4"/>
        <v>Ll</v>
      </c>
      <c r="H4" s="7" t="str">
        <f t="shared" ca="1" si="5"/>
        <v>Rr</v>
      </c>
      <c r="I4" s="7" t="str">
        <f t="shared" ca="1" si="6"/>
        <v>Ff</v>
      </c>
      <c r="J4" s="7" t="str">
        <f t="shared" ca="1" si="7"/>
        <v>Vv</v>
      </c>
      <c r="K4" s="7" t="str">
        <f t="shared" ca="1" si="8"/>
        <v>Uu</v>
      </c>
      <c r="L4" s="2">
        <v>20</v>
      </c>
      <c r="O4" s="40" t="str">
        <f t="shared" ca="1" si="18"/>
        <v>L</v>
      </c>
      <c r="P4" s="40" t="str">
        <f t="shared" ref="P4:P14" ca="1" si="19">TRANSPOSE(MID(B4,LEN(B4)-ROW(INDIRECT("1:"&amp;LEN(B4)))+1,1))</f>
        <v>R</v>
      </c>
      <c r="Q4" s="40" t="str">
        <f t="shared" ref="Q4:Q14" ca="1" si="20">TRANSPOSE(MID(C4,LEN(C4)-ROW(INDIRECT("1:"&amp;LEN(C4)))+1,1))</f>
        <v>F</v>
      </c>
      <c r="R4" s="40" t="str">
        <f t="shared" ref="R4:R14" ca="1" si="21">TRANSPOSE(MID(D4,LEN(D4)-ROW(INDIRECT("1:"&amp;LEN(D4)))+1,1))</f>
        <v>V</v>
      </c>
      <c r="S4" s="40" t="str">
        <f t="shared" ref="S4:S14" ca="1" si="22">TRANSPOSE(MID(E4,LEN(E4)-ROW(INDIRECT("1:"&amp;LEN(E4)))+1,1))</f>
        <v>U</v>
      </c>
      <c r="T4" s="40" t="str">
        <f t="shared" ca="1" si="13"/>
        <v>l</v>
      </c>
      <c r="U4" s="40" t="str">
        <f t="shared" ca="1" si="14"/>
        <v>r</v>
      </c>
      <c r="V4" s="40" t="str">
        <f t="shared" ca="1" si="15"/>
        <v>f</v>
      </c>
      <c r="W4" s="40" t="str">
        <f t="shared" ca="1" si="16"/>
        <v>v</v>
      </c>
      <c r="X4" s="40" t="str">
        <f t="shared" ca="1" si="17"/>
        <v>u</v>
      </c>
    </row>
    <row r="5" spans="1:24" ht="39.9" customHeight="1">
      <c r="A5" s="8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2">
        <v>25</v>
      </c>
      <c r="G5" s="8" t="str">
        <f t="shared" ca="1" si="4"/>
        <v>Jj</v>
      </c>
      <c r="H5" s="8" t="str">
        <f t="shared" ca="1" si="5"/>
        <v>Ww</v>
      </c>
      <c r="I5" s="8" t="str">
        <f t="shared" ca="1" si="6"/>
        <v>Zz</v>
      </c>
      <c r="J5" s="8" t="str">
        <f t="shared" ca="1" si="7"/>
        <v>Xx</v>
      </c>
      <c r="K5" s="8" t="str">
        <f t="shared" ca="1" si="8"/>
        <v>Yy</v>
      </c>
      <c r="L5" s="2">
        <v>25</v>
      </c>
      <c r="O5" s="40" t="str">
        <f t="shared" ca="1" si="18"/>
        <v>J</v>
      </c>
      <c r="P5" s="40" t="str">
        <f t="shared" ca="1" si="19"/>
        <v>W</v>
      </c>
      <c r="Q5" s="40" t="str">
        <f t="shared" ca="1" si="20"/>
        <v>Z</v>
      </c>
      <c r="R5" s="40" t="str">
        <f t="shared" ca="1" si="21"/>
        <v>X</v>
      </c>
      <c r="S5" s="40" t="str">
        <f t="shared" ca="1" si="22"/>
        <v>Y</v>
      </c>
      <c r="T5" s="40" t="str">
        <f t="shared" ca="1" si="13"/>
        <v>j</v>
      </c>
      <c r="U5" s="40" t="str">
        <f t="shared" ca="1" si="14"/>
        <v>w</v>
      </c>
      <c r="V5" s="40" t="str">
        <f t="shared" ca="1" si="15"/>
        <v>z</v>
      </c>
      <c r="W5" s="40" t="str">
        <f t="shared" ca="1" si="16"/>
        <v>x</v>
      </c>
      <c r="X5" s="40" t="str">
        <f t="shared" ca="1" si="17"/>
        <v>y</v>
      </c>
    </row>
    <row r="6" spans="1:24" ht="39.9" customHeight="1">
      <c r="A6" s="9" t="s">
        <v>25</v>
      </c>
      <c r="B6" s="10" t="s">
        <v>26</v>
      </c>
      <c r="C6" s="10" t="s">
        <v>27</v>
      </c>
      <c r="D6" s="11" t="s">
        <v>28</v>
      </c>
      <c r="E6" s="9" t="s">
        <v>29</v>
      </c>
      <c r="F6" s="2">
        <v>30</v>
      </c>
      <c r="G6" s="10" t="s">
        <v>25</v>
      </c>
      <c r="H6" s="10" t="s">
        <v>26</v>
      </c>
      <c r="I6" s="11" t="s">
        <v>27</v>
      </c>
      <c r="J6" s="9" t="s">
        <v>28</v>
      </c>
      <c r="K6" s="10" t="s">
        <v>29</v>
      </c>
      <c r="L6" s="2">
        <v>30</v>
      </c>
      <c r="O6" s="40" t="str">
        <f t="shared" ca="1" si="18"/>
        <v>u</v>
      </c>
      <c r="P6" s="40" t="str">
        <f t="shared" ca="1" si="19"/>
        <v>h</v>
      </c>
      <c r="Q6" s="40" t="str">
        <f t="shared" ca="1" si="20"/>
        <v>h</v>
      </c>
      <c r="R6" s="40" t="str">
        <f t="shared" ca="1" si="21"/>
        <v>h</v>
      </c>
      <c r="S6" s="40" t="str">
        <f t="shared" ca="1" si="22"/>
        <v>y</v>
      </c>
      <c r="T6" s="40"/>
      <c r="U6" s="40"/>
      <c r="V6" s="40"/>
      <c r="W6" s="40"/>
      <c r="X6" s="40"/>
    </row>
    <row r="7" spans="1:24" ht="39.9" customHeight="1">
      <c r="A7" s="12" t="s">
        <v>30</v>
      </c>
      <c r="B7" s="13" t="s">
        <v>31</v>
      </c>
      <c r="C7" s="13" t="s">
        <v>32</v>
      </c>
      <c r="D7" s="14" t="s">
        <v>33</v>
      </c>
      <c r="E7" s="12" t="s">
        <v>34</v>
      </c>
      <c r="F7" s="2">
        <v>35</v>
      </c>
      <c r="G7" s="12" t="s">
        <v>30</v>
      </c>
      <c r="H7" s="13" t="s">
        <v>31</v>
      </c>
      <c r="I7" s="13" t="s">
        <v>32</v>
      </c>
      <c r="J7" s="12" t="s">
        <v>33</v>
      </c>
      <c r="K7" s="12" t="s">
        <v>34</v>
      </c>
      <c r="L7" s="2">
        <v>35</v>
      </c>
      <c r="O7" s="40" t="str">
        <f t="shared" ca="1" si="18"/>
        <v>h</v>
      </c>
      <c r="P7" s="40" t="str">
        <f t="shared" ca="1" si="19"/>
        <v>k</v>
      </c>
      <c r="Q7" s="40" t="str">
        <f t="shared" ca="1" si="20"/>
        <v>e</v>
      </c>
      <c r="R7" s="40" t="str">
        <f t="shared" ca="1" si="21"/>
        <v>r</v>
      </c>
      <c r="S7" s="40" t="str">
        <f t="shared" ca="1" si="22"/>
        <v>r</v>
      </c>
      <c r="T7" s="40"/>
      <c r="U7" s="40"/>
      <c r="V7" s="40"/>
      <c r="W7" s="40"/>
      <c r="X7" s="40"/>
    </row>
    <row r="8" spans="1:24" ht="39.9" customHeight="1">
      <c r="A8" s="15" t="s">
        <v>35</v>
      </c>
      <c r="B8" s="16" t="s">
        <v>36</v>
      </c>
      <c r="C8" s="16" t="s">
        <v>37</v>
      </c>
      <c r="D8" s="17" t="s">
        <v>38</v>
      </c>
      <c r="E8" s="15" t="s">
        <v>39</v>
      </c>
      <c r="F8" s="2">
        <v>40</v>
      </c>
      <c r="G8" s="15" t="s">
        <v>35</v>
      </c>
      <c r="H8" s="16" t="s">
        <v>36</v>
      </c>
      <c r="I8" s="16" t="s">
        <v>37</v>
      </c>
      <c r="J8" s="15" t="s">
        <v>38</v>
      </c>
      <c r="K8" s="15" t="s">
        <v>39</v>
      </c>
      <c r="L8" s="2">
        <v>40</v>
      </c>
      <c r="O8" s="40" t="str">
        <f t="shared" ca="1" si="18"/>
        <v>d</v>
      </c>
      <c r="P8" s="40" t="str">
        <f t="shared" ca="1" si="19"/>
        <v>o</v>
      </c>
      <c r="Q8" s="40" t="str">
        <f t="shared" ca="1" si="20"/>
        <v>h</v>
      </c>
      <c r="R8" s="40" t="str">
        <f t="shared" ca="1" si="21"/>
        <v>i</v>
      </c>
      <c r="S8" s="40" t="str">
        <f t="shared" ca="1" si="22"/>
        <v>y</v>
      </c>
      <c r="T8" s="40"/>
      <c r="U8" s="40"/>
      <c r="V8" s="40"/>
      <c r="W8" s="40"/>
      <c r="X8" s="40"/>
    </row>
    <row r="9" spans="1:24" ht="39.9" customHeight="1">
      <c r="A9" s="18" t="s">
        <v>40</v>
      </c>
      <c r="B9" s="19" t="s">
        <v>41</v>
      </c>
      <c r="C9" s="19" t="s">
        <v>42</v>
      </c>
      <c r="D9" s="18" t="s">
        <v>43</v>
      </c>
      <c r="E9" s="18" t="s">
        <v>44</v>
      </c>
      <c r="F9" s="2">
        <v>45</v>
      </c>
      <c r="G9" s="18" t="s">
        <v>40</v>
      </c>
      <c r="H9" s="19" t="s">
        <v>41</v>
      </c>
      <c r="I9" s="19" t="s">
        <v>42</v>
      </c>
      <c r="J9" s="18" t="s">
        <v>43</v>
      </c>
      <c r="K9" s="18" t="s">
        <v>44</v>
      </c>
      <c r="L9" s="2">
        <v>45</v>
      </c>
      <c r="O9" s="40" t="str">
        <f t="shared" ca="1" si="18"/>
        <v>i</v>
      </c>
      <c r="P9" s="40" t="str">
        <f t="shared" ca="1" si="19"/>
        <v>a</v>
      </c>
      <c r="Q9" s="40" t="str">
        <f t="shared" ca="1" si="20"/>
        <v>a</v>
      </c>
      <c r="R9" s="40" t="str">
        <f t="shared" ca="1" si="21"/>
        <v>r</v>
      </c>
      <c r="S9" s="40" t="str">
        <f t="shared" ca="1" si="22"/>
        <v>w</v>
      </c>
      <c r="T9" s="40"/>
      <c r="U9" s="40"/>
      <c r="V9" s="40"/>
      <c r="W9" s="40"/>
      <c r="X9" s="40"/>
    </row>
    <row r="10" spans="1:24" ht="39" customHeight="1">
      <c r="A10" s="20" t="s">
        <v>45</v>
      </c>
      <c r="B10" s="21" t="s">
        <v>46</v>
      </c>
      <c r="C10" s="21" t="s">
        <v>47</v>
      </c>
      <c r="D10" s="22" t="s">
        <v>48</v>
      </c>
      <c r="E10" s="20" t="s">
        <v>49</v>
      </c>
      <c r="F10" s="2">
        <v>50</v>
      </c>
      <c r="G10" s="20" t="s">
        <v>45</v>
      </c>
      <c r="H10" s="21" t="s">
        <v>46</v>
      </c>
      <c r="I10" s="21" t="s">
        <v>47</v>
      </c>
      <c r="J10" s="20" t="s">
        <v>48</v>
      </c>
      <c r="K10" s="20" t="s">
        <v>49</v>
      </c>
      <c r="L10" s="2">
        <v>50</v>
      </c>
      <c r="O10" s="40" t="str">
        <f t="shared" ca="1" si="18"/>
        <v>e</v>
      </c>
      <c r="P10" s="40" t="str">
        <f t="shared" ca="1" si="19"/>
        <v>u</v>
      </c>
      <c r="Q10" s="40" t="str">
        <f t="shared" ca="1" si="20"/>
        <v>w</v>
      </c>
      <c r="R10" s="40" t="str">
        <f t="shared" ca="1" si="21"/>
        <v>r</v>
      </c>
      <c r="S10" s="40" t="str">
        <f t="shared" ca="1" si="22"/>
        <v>r</v>
      </c>
      <c r="T10" s="40"/>
      <c r="U10" s="40"/>
      <c r="V10" s="40"/>
      <c r="W10" s="40"/>
      <c r="X10" s="40"/>
    </row>
    <row r="11" spans="1:24" ht="39.9" customHeight="1">
      <c r="A11" s="23" t="s">
        <v>50</v>
      </c>
      <c r="B11" s="24" t="s">
        <v>51</v>
      </c>
      <c r="C11" s="25" t="s">
        <v>52</v>
      </c>
      <c r="D11" s="26" t="s">
        <v>53</v>
      </c>
      <c r="E11" s="27" t="s">
        <v>54</v>
      </c>
      <c r="F11" s="2">
        <v>55</v>
      </c>
      <c r="G11" s="23" t="s">
        <v>50</v>
      </c>
      <c r="H11" s="24" t="s">
        <v>51</v>
      </c>
      <c r="I11" s="25" t="s">
        <v>52</v>
      </c>
      <c r="J11" s="23" t="s">
        <v>53</v>
      </c>
      <c r="K11" s="27" t="s">
        <v>54</v>
      </c>
      <c r="L11" s="2">
        <v>55</v>
      </c>
      <c r="O11" s="40" t="str">
        <f t="shared" ca="1" si="18"/>
        <v>h</v>
      </c>
      <c r="P11" s="40" t="str">
        <f t="shared" ca="1" si="19"/>
        <v>n</v>
      </c>
      <c r="Q11" s="40" t="str">
        <f t="shared" ca="1" si="20"/>
        <v>e</v>
      </c>
      <c r="R11" s="40" t="str">
        <f t="shared" ca="1" si="21"/>
        <v>i</v>
      </c>
      <c r="S11" s="40" t="str">
        <f t="shared" ca="1" si="22"/>
        <v>h</v>
      </c>
      <c r="T11" s="40"/>
      <c r="U11" s="40"/>
      <c r="V11" s="40"/>
      <c r="W11" s="40"/>
      <c r="X11" s="40"/>
    </row>
    <row r="12" spans="1:24" ht="39" customHeight="1">
      <c r="A12" s="28" t="s">
        <v>55</v>
      </c>
      <c r="B12" s="29" t="s">
        <v>56</v>
      </c>
      <c r="C12" s="29" t="s">
        <v>57</v>
      </c>
      <c r="D12" s="30" t="s">
        <v>58</v>
      </c>
      <c r="E12" s="29" t="s">
        <v>59</v>
      </c>
      <c r="F12" s="2">
        <v>60</v>
      </c>
      <c r="G12" s="28" t="s">
        <v>55</v>
      </c>
      <c r="H12" s="29" t="s">
        <v>56</v>
      </c>
      <c r="I12" s="29" t="s">
        <v>57</v>
      </c>
      <c r="J12" s="28" t="s">
        <v>58</v>
      </c>
      <c r="K12" s="29" t="s">
        <v>59</v>
      </c>
      <c r="L12" s="2">
        <v>60</v>
      </c>
      <c r="O12" s="40" t="str">
        <f t="shared" ca="1" si="18"/>
        <v>u</v>
      </c>
      <c r="P12" s="40" t="str">
        <f t="shared" ca="1" si="19"/>
        <v>w</v>
      </c>
      <c r="Q12" s="40" t="str">
        <f t="shared" ca="1" si="20"/>
        <v>r</v>
      </c>
      <c r="R12" s="40" t="str">
        <f t="shared" ca="1" si="21"/>
        <v>r</v>
      </c>
      <c r="S12" s="40" t="str">
        <f t="shared" ca="1" si="22"/>
        <v>r</v>
      </c>
      <c r="T12" s="40"/>
      <c r="U12" s="40"/>
      <c r="V12" s="40"/>
      <c r="W12" s="40"/>
      <c r="X12" s="40"/>
    </row>
    <row r="13" spans="1:24" ht="39" customHeight="1">
      <c r="A13" s="31" t="s">
        <v>60</v>
      </c>
      <c r="B13" s="32" t="s">
        <v>61</v>
      </c>
      <c r="C13" s="33" t="s">
        <v>62</v>
      </c>
      <c r="D13" s="34" t="s">
        <v>63</v>
      </c>
      <c r="E13" s="35" t="s">
        <v>64</v>
      </c>
      <c r="F13" s="2">
        <v>65</v>
      </c>
      <c r="G13" s="31" t="s">
        <v>60</v>
      </c>
      <c r="H13" s="32" t="s">
        <v>61</v>
      </c>
      <c r="I13" s="33" t="s">
        <v>62</v>
      </c>
      <c r="J13" s="31" t="s">
        <v>63</v>
      </c>
      <c r="K13" s="35" t="s">
        <v>64</v>
      </c>
      <c r="L13" s="2">
        <v>65</v>
      </c>
      <c r="O13" s="40" t="str">
        <f t="shared" ca="1" si="18"/>
        <v>e</v>
      </c>
      <c r="P13" s="40" t="str">
        <f t="shared" ca="1" si="19"/>
        <v>i</v>
      </c>
      <c r="Q13" s="40" t="str">
        <f t="shared" ca="1" si="20"/>
        <v>g</v>
      </c>
      <c r="R13" s="40" t="str">
        <f t="shared" ca="1" si="21"/>
        <v>y</v>
      </c>
      <c r="S13" s="40" t="str">
        <f t="shared" ca="1" si="22"/>
        <v>h</v>
      </c>
      <c r="T13" s="40"/>
      <c r="U13" s="40"/>
      <c r="V13" s="40"/>
      <c r="W13" s="40"/>
      <c r="X13" s="40"/>
    </row>
    <row r="14" spans="1:24" ht="36.9" customHeight="1">
      <c r="A14" s="36" t="s">
        <v>65</v>
      </c>
      <c r="B14" s="36" t="s">
        <v>66</v>
      </c>
      <c r="C14" s="37" t="s">
        <v>67</v>
      </c>
      <c r="D14" s="38" t="s">
        <v>68</v>
      </c>
      <c r="E14" s="36" t="s">
        <v>69</v>
      </c>
      <c r="F14" s="2">
        <v>70</v>
      </c>
      <c r="G14" s="36" t="s">
        <v>65</v>
      </c>
      <c r="H14" s="36" t="s">
        <v>66</v>
      </c>
      <c r="I14" s="37" t="s">
        <v>67</v>
      </c>
      <c r="J14" s="36" t="s">
        <v>68</v>
      </c>
      <c r="K14" s="36" t="s">
        <v>69</v>
      </c>
      <c r="L14" s="39">
        <v>70</v>
      </c>
      <c r="O14" s="40" t="str">
        <f t="shared" ca="1" si="18"/>
        <v>u</v>
      </c>
      <c r="P14" s="40" t="str">
        <f t="shared" ca="1" si="19"/>
        <v>i</v>
      </c>
      <c r="Q14" s="40" t="str">
        <f t="shared" ca="1" si="20"/>
        <v>i</v>
      </c>
      <c r="R14" s="40" t="str">
        <f t="shared" ca="1" si="21"/>
        <v>i</v>
      </c>
      <c r="S14" s="40" t="str">
        <f t="shared" ca="1" si="22"/>
        <v>n</v>
      </c>
      <c r="T14" s="40"/>
      <c r="U14" s="40"/>
      <c r="V14" s="40"/>
      <c r="W14" s="40"/>
      <c r="X14" s="4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96"/>
  <sheetViews>
    <sheetView zoomScale="130" zoomScaleNormal="130" workbookViewId="0">
      <selection activeCell="O196" sqref="A1:O196"/>
    </sheetView>
  </sheetViews>
  <sheetFormatPr defaultColWidth="9.33203125" defaultRowHeight="86.25" customHeight="1"/>
  <cols>
    <col min="1" max="1" width="3.77734375" style="136" customWidth="1"/>
    <col min="2" max="2" width="17" style="132" customWidth="1"/>
    <col min="3" max="3" width="3.77734375" style="136" customWidth="1"/>
    <col min="4" max="4" width="17" style="132" customWidth="1"/>
    <col min="5" max="5" width="3.77734375" style="136" customWidth="1"/>
    <col min="6" max="6" width="17" style="132" customWidth="1"/>
    <col min="7" max="7" width="3.77734375" style="136" customWidth="1"/>
    <col min="8" max="8" width="17" style="132" customWidth="1"/>
    <col min="9" max="9" width="3.77734375" style="136" customWidth="1"/>
    <col min="10" max="10" width="17" style="132" customWidth="1"/>
    <col min="11" max="11" width="3.77734375" style="136" customWidth="1"/>
    <col min="12" max="12" width="17" style="132" customWidth="1"/>
    <col min="13" max="13" width="3.77734375" style="136" customWidth="1"/>
    <col min="14" max="14" width="17" style="132" customWidth="1"/>
    <col min="15" max="15" width="3.77734375" style="136" customWidth="1"/>
    <col min="16" max="16384" width="9.33203125" style="135"/>
  </cols>
  <sheetData>
    <row r="1" spans="2:14" ht="92.25" customHeight="1"/>
    <row r="2" spans="2:14" ht="76.5" customHeight="1">
      <c r="B2" s="117" t="s">
        <v>70</v>
      </c>
      <c r="D2" s="117" t="s">
        <v>70</v>
      </c>
      <c r="F2" s="117" t="s">
        <v>70</v>
      </c>
      <c r="H2" s="117" t="s">
        <v>70</v>
      </c>
      <c r="J2" s="117" t="s">
        <v>70</v>
      </c>
      <c r="L2" s="117" t="s">
        <v>70</v>
      </c>
      <c r="N2" s="117" t="s">
        <v>70</v>
      </c>
    </row>
    <row r="3" spans="2:14" ht="76.5" customHeight="1">
      <c r="B3" s="117" t="s">
        <v>71</v>
      </c>
      <c r="D3" s="117" t="s">
        <v>71</v>
      </c>
      <c r="F3" s="117" t="s">
        <v>71</v>
      </c>
      <c r="H3" s="117" t="s">
        <v>71</v>
      </c>
      <c r="J3" s="117" t="s">
        <v>71</v>
      </c>
      <c r="L3" s="117" t="s">
        <v>71</v>
      </c>
      <c r="N3" s="117" t="s">
        <v>71</v>
      </c>
    </row>
    <row r="4" spans="2:14" ht="76.5" customHeight="1">
      <c r="B4" s="117" t="s">
        <v>72</v>
      </c>
      <c r="D4" s="117" t="s">
        <v>72</v>
      </c>
      <c r="F4" s="117" t="s">
        <v>72</v>
      </c>
      <c r="H4" s="117" t="s">
        <v>72</v>
      </c>
      <c r="J4" s="117" t="s">
        <v>72</v>
      </c>
      <c r="L4" s="117" t="s">
        <v>72</v>
      </c>
      <c r="N4" s="117" t="s">
        <v>72</v>
      </c>
    </row>
    <row r="5" spans="2:14" ht="76.5" customHeight="1">
      <c r="B5" s="117" t="s">
        <v>73</v>
      </c>
      <c r="D5" s="117" t="s">
        <v>73</v>
      </c>
      <c r="F5" s="117" t="s">
        <v>73</v>
      </c>
      <c r="H5" s="117" t="s">
        <v>73</v>
      </c>
      <c r="J5" s="117" t="s">
        <v>73</v>
      </c>
      <c r="L5" s="117" t="s">
        <v>73</v>
      </c>
      <c r="N5" s="117" t="s">
        <v>73</v>
      </c>
    </row>
    <row r="6" spans="2:14" ht="76.5" customHeight="1">
      <c r="B6" s="117" t="s">
        <v>74</v>
      </c>
      <c r="D6" s="117" t="s">
        <v>74</v>
      </c>
      <c r="F6" s="117" t="s">
        <v>74</v>
      </c>
      <c r="H6" s="117" t="s">
        <v>74</v>
      </c>
      <c r="J6" s="117" t="s">
        <v>74</v>
      </c>
      <c r="L6" s="117" t="s">
        <v>74</v>
      </c>
      <c r="N6" s="117" t="s">
        <v>74</v>
      </c>
    </row>
    <row r="7" spans="2:14" ht="25.5" customHeight="1"/>
    <row r="8" spans="2:14" ht="92.25" customHeight="1">
      <c r="B8" s="133"/>
      <c r="D8" s="133"/>
      <c r="F8" s="133"/>
      <c r="H8" s="133"/>
      <c r="J8" s="133"/>
      <c r="L8" s="133"/>
      <c r="N8" s="133"/>
    </row>
    <row r="9" spans="2:14" ht="76.5" customHeight="1">
      <c r="B9" s="115" t="s">
        <v>70</v>
      </c>
      <c r="D9" s="115" t="s">
        <v>70</v>
      </c>
      <c r="F9" s="115" t="s">
        <v>70</v>
      </c>
      <c r="H9" s="115" t="s">
        <v>70</v>
      </c>
      <c r="J9" s="115" t="s">
        <v>70</v>
      </c>
      <c r="L9" s="115" t="s">
        <v>70</v>
      </c>
      <c r="N9" s="115" t="s">
        <v>70</v>
      </c>
    </row>
    <row r="10" spans="2:14" ht="76.5" customHeight="1">
      <c r="B10" s="115" t="s">
        <v>71</v>
      </c>
      <c r="D10" s="115" t="s">
        <v>71</v>
      </c>
      <c r="F10" s="115" t="s">
        <v>71</v>
      </c>
      <c r="H10" s="115" t="s">
        <v>71</v>
      </c>
      <c r="J10" s="115" t="s">
        <v>71</v>
      </c>
      <c r="L10" s="115" t="s">
        <v>71</v>
      </c>
      <c r="N10" s="115" t="s">
        <v>71</v>
      </c>
    </row>
    <row r="11" spans="2:14" ht="76.5" customHeight="1">
      <c r="B11" s="115" t="s">
        <v>72</v>
      </c>
      <c r="D11" s="115" t="s">
        <v>72</v>
      </c>
      <c r="F11" s="115" t="s">
        <v>72</v>
      </c>
      <c r="H11" s="115" t="s">
        <v>72</v>
      </c>
      <c r="J11" s="115" t="s">
        <v>72</v>
      </c>
      <c r="L11" s="115" t="s">
        <v>72</v>
      </c>
      <c r="N11" s="115" t="s">
        <v>72</v>
      </c>
    </row>
    <row r="12" spans="2:14" ht="76.5" customHeight="1">
      <c r="B12" s="115" t="s">
        <v>73</v>
      </c>
      <c r="D12" s="115" t="s">
        <v>73</v>
      </c>
      <c r="F12" s="115" t="s">
        <v>73</v>
      </c>
      <c r="H12" s="115" t="s">
        <v>73</v>
      </c>
      <c r="J12" s="115" t="s">
        <v>73</v>
      </c>
      <c r="L12" s="115" t="s">
        <v>73</v>
      </c>
      <c r="N12" s="115" t="s">
        <v>73</v>
      </c>
    </row>
    <row r="13" spans="2:14" ht="76.5" customHeight="1">
      <c r="B13" s="115" t="s">
        <v>74</v>
      </c>
      <c r="D13" s="115" t="s">
        <v>74</v>
      </c>
      <c r="F13" s="115" t="s">
        <v>74</v>
      </c>
      <c r="H13" s="115" t="s">
        <v>74</v>
      </c>
      <c r="J13" s="115" t="s">
        <v>74</v>
      </c>
      <c r="L13" s="115" t="s">
        <v>74</v>
      </c>
      <c r="N13" s="115" t="s">
        <v>74</v>
      </c>
    </row>
    <row r="14" spans="2:14" ht="25.5" customHeight="1"/>
    <row r="15" spans="2:14" ht="92.25" customHeight="1"/>
    <row r="16" spans="2:14" ht="76.5" customHeight="1">
      <c r="B16" s="118" t="s">
        <v>75</v>
      </c>
      <c r="D16" s="118" t="s">
        <v>75</v>
      </c>
      <c r="F16" s="118" t="s">
        <v>75</v>
      </c>
      <c r="H16" s="118" t="s">
        <v>75</v>
      </c>
      <c r="J16" s="118" t="s">
        <v>75</v>
      </c>
      <c r="L16" s="118" t="s">
        <v>75</v>
      </c>
      <c r="N16" s="118" t="s">
        <v>75</v>
      </c>
    </row>
    <row r="17" spans="1:15" ht="76.5" customHeight="1">
      <c r="B17" s="118" t="s">
        <v>76</v>
      </c>
      <c r="D17" s="118" t="s">
        <v>76</v>
      </c>
      <c r="F17" s="118" t="s">
        <v>76</v>
      </c>
      <c r="H17" s="118" t="s">
        <v>76</v>
      </c>
      <c r="J17" s="118" t="s">
        <v>76</v>
      </c>
      <c r="L17" s="118" t="s">
        <v>76</v>
      </c>
      <c r="N17" s="118" t="s">
        <v>76</v>
      </c>
    </row>
    <row r="18" spans="1:15" ht="76.5" customHeight="1">
      <c r="B18" s="118" t="s">
        <v>77</v>
      </c>
      <c r="D18" s="118" t="s">
        <v>77</v>
      </c>
      <c r="F18" s="118" t="s">
        <v>77</v>
      </c>
      <c r="H18" s="118" t="s">
        <v>77</v>
      </c>
      <c r="J18" s="118" t="s">
        <v>77</v>
      </c>
      <c r="L18" s="118" t="s">
        <v>77</v>
      </c>
      <c r="N18" s="118" t="s">
        <v>77</v>
      </c>
    </row>
    <row r="19" spans="1:15" ht="76.5" customHeight="1">
      <c r="B19" s="118" t="s">
        <v>78</v>
      </c>
      <c r="D19" s="118" t="s">
        <v>78</v>
      </c>
      <c r="F19" s="118" t="s">
        <v>78</v>
      </c>
      <c r="H19" s="118" t="s">
        <v>78</v>
      </c>
      <c r="J19" s="118" t="s">
        <v>78</v>
      </c>
      <c r="L19" s="118" t="s">
        <v>78</v>
      </c>
      <c r="N19" s="118" t="s">
        <v>78</v>
      </c>
    </row>
    <row r="20" spans="1:15" ht="76.5" customHeight="1">
      <c r="B20" s="118" t="s">
        <v>79</v>
      </c>
      <c r="D20" s="118" t="s">
        <v>79</v>
      </c>
      <c r="F20" s="118" t="s">
        <v>79</v>
      </c>
      <c r="H20" s="118" t="s">
        <v>79</v>
      </c>
      <c r="J20" s="118" t="s">
        <v>79</v>
      </c>
      <c r="L20" s="118" t="s">
        <v>79</v>
      </c>
      <c r="N20" s="118" t="s">
        <v>79</v>
      </c>
    </row>
    <row r="21" spans="1:15" ht="25.5" customHeight="1"/>
    <row r="22" spans="1:15" ht="92.25" customHeight="1">
      <c r="B22" s="133"/>
      <c r="D22" s="133"/>
      <c r="F22" s="133"/>
      <c r="H22" s="133"/>
      <c r="J22" s="133"/>
      <c r="L22" s="133"/>
      <c r="N22" s="133"/>
    </row>
    <row r="23" spans="1:15" ht="76.5" customHeight="1">
      <c r="B23" s="102" t="s">
        <v>75</v>
      </c>
      <c r="D23" s="102" t="s">
        <v>75</v>
      </c>
      <c r="F23" s="102" t="s">
        <v>75</v>
      </c>
      <c r="H23" s="102" t="s">
        <v>75</v>
      </c>
      <c r="J23" s="102" t="s">
        <v>75</v>
      </c>
      <c r="L23" s="102" t="s">
        <v>75</v>
      </c>
      <c r="N23" s="102" t="s">
        <v>75</v>
      </c>
    </row>
    <row r="24" spans="1:15" ht="76.5" customHeight="1">
      <c r="B24" s="102" t="s">
        <v>76</v>
      </c>
      <c r="D24" s="102" t="s">
        <v>76</v>
      </c>
      <c r="F24" s="102" t="s">
        <v>76</v>
      </c>
      <c r="H24" s="102" t="s">
        <v>76</v>
      </c>
      <c r="J24" s="102" t="s">
        <v>76</v>
      </c>
      <c r="L24" s="102" t="s">
        <v>76</v>
      </c>
      <c r="N24" s="102" t="s">
        <v>76</v>
      </c>
    </row>
    <row r="25" spans="1:15" ht="76.5" customHeight="1">
      <c r="B25" s="102" t="s">
        <v>77</v>
      </c>
      <c r="D25" s="102" t="s">
        <v>77</v>
      </c>
      <c r="F25" s="102" t="s">
        <v>77</v>
      </c>
      <c r="H25" s="102" t="s">
        <v>77</v>
      </c>
      <c r="J25" s="102" t="s">
        <v>77</v>
      </c>
      <c r="L25" s="102" t="s">
        <v>77</v>
      </c>
      <c r="N25" s="102" t="s">
        <v>77</v>
      </c>
    </row>
    <row r="26" spans="1:15" ht="76.5" customHeight="1">
      <c r="B26" s="102" t="s">
        <v>78</v>
      </c>
      <c r="D26" s="102" t="s">
        <v>78</v>
      </c>
      <c r="F26" s="102" t="s">
        <v>78</v>
      </c>
      <c r="H26" s="102" t="s">
        <v>78</v>
      </c>
      <c r="J26" s="102" t="s">
        <v>78</v>
      </c>
      <c r="L26" s="102" t="s">
        <v>78</v>
      </c>
      <c r="N26" s="102" t="s">
        <v>78</v>
      </c>
    </row>
    <row r="27" spans="1:15" ht="76.5" customHeight="1">
      <c r="B27" s="102" t="s">
        <v>79</v>
      </c>
      <c r="D27" s="102" t="s">
        <v>79</v>
      </c>
      <c r="F27" s="102" t="s">
        <v>79</v>
      </c>
      <c r="H27" s="102" t="s">
        <v>79</v>
      </c>
      <c r="J27" s="102" t="s">
        <v>79</v>
      </c>
      <c r="L27" s="102" t="s">
        <v>79</v>
      </c>
      <c r="N27" s="102" t="s">
        <v>79</v>
      </c>
    </row>
    <row r="28" spans="1:15" ht="25.5" customHeight="1"/>
    <row r="29" spans="1:15" s="132" customFormat="1" ht="92.25" customHeight="1">
      <c r="A29" s="136"/>
      <c r="C29" s="136"/>
      <c r="E29" s="136"/>
      <c r="G29" s="136"/>
      <c r="I29" s="136"/>
      <c r="K29" s="136"/>
      <c r="M29" s="136"/>
      <c r="O29" s="136"/>
    </row>
    <row r="30" spans="1:15" s="132" customFormat="1" ht="76.5" customHeight="1">
      <c r="A30" s="136"/>
      <c r="B30" s="119" t="s">
        <v>80</v>
      </c>
      <c r="C30" s="136"/>
      <c r="D30" s="119" t="s">
        <v>80</v>
      </c>
      <c r="E30" s="136"/>
      <c r="F30" s="119" t="s">
        <v>80</v>
      </c>
      <c r="G30" s="136"/>
      <c r="H30" s="119" t="s">
        <v>80</v>
      </c>
      <c r="I30" s="136"/>
      <c r="J30" s="119" t="s">
        <v>80</v>
      </c>
      <c r="K30" s="136"/>
      <c r="L30" s="119" t="s">
        <v>80</v>
      </c>
      <c r="M30" s="136"/>
      <c r="N30" s="119" t="s">
        <v>80</v>
      </c>
      <c r="O30" s="136"/>
    </row>
    <row r="31" spans="1:15" s="132" customFormat="1" ht="76.5" customHeight="1">
      <c r="A31" s="136"/>
      <c r="B31" s="119" t="s">
        <v>81</v>
      </c>
      <c r="C31" s="136"/>
      <c r="D31" s="119" t="s">
        <v>81</v>
      </c>
      <c r="E31" s="136"/>
      <c r="F31" s="119" t="s">
        <v>81</v>
      </c>
      <c r="G31" s="136"/>
      <c r="H31" s="119" t="s">
        <v>81</v>
      </c>
      <c r="I31" s="136"/>
      <c r="J31" s="119" t="s">
        <v>81</v>
      </c>
      <c r="K31" s="136"/>
      <c r="L31" s="119" t="s">
        <v>81</v>
      </c>
      <c r="M31" s="136"/>
      <c r="N31" s="119" t="s">
        <v>81</v>
      </c>
      <c r="O31" s="136"/>
    </row>
    <row r="32" spans="1:15" s="132" customFormat="1" ht="76.5" customHeight="1">
      <c r="A32" s="136"/>
      <c r="B32" s="119" t="s">
        <v>82</v>
      </c>
      <c r="C32" s="136"/>
      <c r="D32" s="119" t="s">
        <v>82</v>
      </c>
      <c r="E32" s="136"/>
      <c r="F32" s="119" t="s">
        <v>82</v>
      </c>
      <c r="G32" s="136"/>
      <c r="H32" s="119" t="s">
        <v>82</v>
      </c>
      <c r="I32" s="136"/>
      <c r="J32" s="119" t="s">
        <v>82</v>
      </c>
      <c r="K32" s="136"/>
      <c r="L32" s="119" t="s">
        <v>82</v>
      </c>
      <c r="M32" s="136"/>
      <c r="N32" s="119" t="s">
        <v>82</v>
      </c>
      <c r="O32" s="136"/>
    </row>
    <row r="33" spans="1:15" s="132" customFormat="1" ht="76.5" customHeight="1">
      <c r="A33" s="136"/>
      <c r="B33" s="119" t="s">
        <v>83</v>
      </c>
      <c r="C33" s="136"/>
      <c r="D33" s="119" t="s">
        <v>83</v>
      </c>
      <c r="E33" s="136"/>
      <c r="F33" s="119" t="s">
        <v>83</v>
      </c>
      <c r="G33" s="136"/>
      <c r="H33" s="119" t="s">
        <v>83</v>
      </c>
      <c r="I33" s="136"/>
      <c r="J33" s="119" t="s">
        <v>83</v>
      </c>
      <c r="K33" s="136"/>
      <c r="L33" s="119" t="s">
        <v>83</v>
      </c>
      <c r="M33" s="136"/>
      <c r="N33" s="119" t="s">
        <v>83</v>
      </c>
      <c r="O33" s="136"/>
    </row>
    <row r="34" spans="1:15" s="132" customFormat="1" ht="76.5" customHeight="1">
      <c r="A34" s="136"/>
      <c r="B34" s="119" t="s">
        <v>84</v>
      </c>
      <c r="C34" s="136"/>
      <c r="D34" s="119" t="s">
        <v>84</v>
      </c>
      <c r="E34" s="136"/>
      <c r="F34" s="119" t="s">
        <v>84</v>
      </c>
      <c r="G34" s="136"/>
      <c r="H34" s="119" t="s">
        <v>84</v>
      </c>
      <c r="I34" s="136"/>
      <c r="J34" s="119" t="s">
        <v>84</v>
      </c>
      <c r="K34" s="136"/>
      <c r="L34" s="119" t="s">
        <v>84</v>
      </c>
      <c r="M34" s="136"/>
      <c r="N34" s="119" t="s">
        <v>84</v>
      </c>
      <c r="O34" s="136"/>
    </row>
    <row r="35" spans="1:15" s="136" customFormat="1" ht="25.5" customHeight="1"/>
    <row r="36" spans="1:15" s="132" customFormat="1" ht="92.25" customHeight="1">
      <c r="A36" s="136"/>
      <c r="B36" s="135"/>
      <c r="C36" s="136"/>
      <c r="D36" s="135"/>
      <c r="E36" s="136"/>
      <c r="F36" s="135"/>
      <c r="G36" s="136"/>
      <c r="H36" s="135"/>
      <c r="I36" s="136"/>
      <c r="J36" s="135"/>
      <c r="K36" s="136"/>
      <c r="L36" s="135"/>
      <c r="M36" s="136"/>
      <c r="N36" s="135"/>
      <c r="O36" s="136"/>
    </row>
    <row r="37" spans="1:15" s="132" customFormat="1" ht="76.5" customHeight="1">
      <c r="A37" s="136"/>
      <c r="B37" s="103" t="s">
        <v>80</v>
      </c>
      <c r="C37" s="136"/>
      <c r="D37" s="103" t="s">
        <v>80</v>
      </c>
      <c r="E37" s="136"/>
      <c r="F37" s="103" t="s">
        <v>80</v>
      </c>
      <c r="G37" s="136"/>
      <c r="H37" s="103" t="s">
        <v>80</v>
      </c>
      <c r="I37" s="136"/>
      <c r="J37" s="103" t="s">
        <v>80</v>
      </c>
      <c r="K37" s="136"/>
      <c r="L37" s="103" t="s">
        <v>80</v>
      </c>
      <c r="M37" s="136"/>
      <c r="N37" s="103" t="s">
        <v>80</v>
      </c>
      <c r="O37" s="136"/>
    </row>
    <row r="38" spans="1:15" s="132" customFormat="1" ht="76.5" customHeight="1">
      <c r="A38" s="136"/>
      <c r="B38" s="103" t="s">
        <v>81</v>
      </c>
      <c r="C38" s="136"/>
      <c r="D38" s="103" t="s">
        <v>81</v>
      </c>
      <c r="E38" s="136"/>
      <c r="F38" s="103" t="s">
        <v>81</v>
      </c>
      <c r="G38" s="136"/>
      <c r="H38" s="103" t="s">
        <v>81</v>
      </c>
      <c r="I38" s="136"/>
      <c r="J38" s="103" t="s">
        <v>81</v>
      </c>
      <c r="K38" s="136"/>
      <c r="L38" s="103" t="s">
        <v>81</v>
      </c>
      <c r="M38" s="136"/>
      <c r="N38" s="103" t="s">
        <v>81</v>
      </c>
      <c r="O38" s="136"/>
    </row>
    <row r="39" spans="1:15" s="132" customFormat="1" ht="76.5" customHeight="1">
      <c r="A39" s="136"/>
      <c r="B39" s="103" t="s">
        <v>82</v>
      </c>
      <c r="C39" s="136"/>
      <c r="D39" s="103" t="s">
        <v>82</v>
      </c>
      <c r="E39" s="136"/>
      <c r="F39" s="103" t="s">
        <v>82</v>
      </c>
      <c r="G39" s="136"/>
      <c r="H39" s="103" t="s">
        <v>82</v>
      </c>
      <c r="I39" s="136"/>
      <c r="J39" s="103" t="s">
        <v>82</v>
      </c>
      <c r="K39" s="136"/>
      <c r="L39" s="103" t="s">
        <v>82</v>
      </c>
      <c r="M39" s="136"/>
      <c r="N39" s="103" t="s">
        <v>82</v>
      </c>
      <c r="O39" s="136"/>
    </row>
    <row r="40" spans="1:15" s="132" customFormat="1" ht="76.5" customHeight="1">
      <c r="A40" s="136"/>
      <c r="B40" s="103" t="s">
        <v>83</v>
      </c>
      <c r="C40" s="136"/>
      <c r="D40" s="103" t="s">
        <v>83</v>
      </c>
      <c r="E40" s="136"/>
      <c r="F40" s="103" t="s">
        <v>83</v>
      </c>
      <c r="G40" s="136"/>
      <c r="H40" s="103" t="s">
        <v>83</v>
      </c>
      <c r="I40" s="136"/>
      <c r="J40" s="103" t="s">
        <v>83</v>
      </c>
      <c r="K40" s="136"/>
      <c r="L40" s="103" t="s">
        <v>83</v>
      </c>
      <c r="M40" s="136"/>
      <c r="N40" s="103" t="s">
        <v>83</v>
      </c>
      <c r="O40" s="136"/>
    </row>
    <row r="41" spans="1:15" s="132" customFormat="1" ht="76.5" customHeight="1">
      <c r="A41" s="136"/>
      <c r="B41" s="103" t="s">
        <v>84</v>
      </c>
      <c r="C41" s="136"/>
      <c r="D41" s="103" t="s">
        <v>84</v>
      </c>
      <c r="E41" s="136"/>
      <c r="F41" s="103" t="s">
        <v>84</v>
      </c>
      <c r="G41" s="136"/>
      <c r="H41" s="103" t="s">
        <v>84</v>
      </c>
      <c r="I41" s="136"/>
      <c r="J41" s="103" t="s">
        <v>84</v>
      </c>
      <c r="K41" s="136"/>
      <c r="L41" s="103" t="s">
        <v>84</v>
      </c>
      <c r="M41" s="136"/>
      <c r="N41" s="103" t="s">
        <v>84</v>
      </c>
      <c r="O41" s="136"/>
    </row>
    <row r="42" spans="1:15" s="132" customFormat="1" ht="25.5" customHeight="1">
      <c r="A42" s="136"/>
      <c r="C42" s="136"/>
      <c r="E42" s="136"/>
      <c r="G42" s="136"/>
      <c r="I42" s="136"/>
      <c r="K42" s="136"/>
      <c r="M42" s="136"/>
      <c r="O42" s="136"/>
    </row>
    <row r="43" spans="1:15" s="132" customFormat="1" ht="92.25" customHeight="1">
      <c r="A43" s="136"/>
      <c r="C43" s="136"/>
      <c r="E43" s="136"/>
      <c r="G43" s="136"/>
      <c r="I43" s="136"/>
      <c r="K43" s="136"/>
      <c r="M43" s="136"/>
      <c r="O43" s="136"/>
    </row>
    <row r="44" spans="1:15" s="132" customFormat="1" ht="76.5" customHeight="1">
      <c r="A44" s="136"/>
      <c r="B44" s="120" t="s">
        <v>85</v>
      </c>
      <c r="C44" s="136"/>
      <c r="D44" s="120" t="s">
        <v>85</v>
      </c>
      <c r="E44" s="136"/>
      <c r="F44" s="120" t="s">
        <v>85</v>
      </c>
      <c r="G44" s="136"/>
      <c r="H44" s="120" t="s">
        <v>85</v>
      </c>
      <c r="I44" s="136"/>
      <c r="J44" s="120" t="s">
        <v>85</v>
      </c>
      <c r="K44" s="136"/>
      <c r="L44" s="120" t="s">
        <v>85</v>
      </c>
      <c r="M44" s="136"/>
      <c r="N44" s="120" t="s">
        <v>85</v>
      </c>
      <c r="O44" s="136"/>
    </row>
    <row r="45" spans="1:15" s="132" customFormat="1" ht="76.5" customHeight="1">
      <c r="A45" s="136"/>
      <c r="B45" s="120" t="s">
        <v>86</v>
      </c>
      <c r="C45" s="136"/>
      <c r="D45" s="120" t="s">
        <v>86</v>
      </c>
      <c r="E45" s="136"/>
      <c r="F45" s="120" t="s">
        <v>86</v>
      </c>
      <c r="G45" s="136"/>
      <c r="H45" s="120" t="s">
        <v>86</v>
      </c>
      <c r="I45" s="136"/>
      <c r="J45" s="120" t="s">
        <v>86</v>
      </c>
      <c r="K45" s="136"/>
      <c r="L45" s="120" t="s">
        <v>86</v>
      </c>
      <c r="M45" s="136"/>
      <c r="N45" s="120" t="s">
        <v>86</v>
      </c>
      <c r="O45" s="136"/>
    </row>
    <row r="46" spans="1:15" s="132" customFormat="1" ht="76.5" customHeight="1">
      <c r="A46" s="136"/>
      <c r="B46" s="120" t="s">
        <v>87</v>
      </c>
      <c r="C46" s="136"/>
      <c r="D46" s="120" t="s">
        <v>87</v>
      </c>
      <c r="E46" s="136"/>
      <c r="F46" s="120" t="s">
        <v>87</v>
      </c>
      <c r="G46" s="136"/>
      <c r="H46" s="120" t="s">
        <v>87</v>
      </c>
      <c r="I46" s="136"/>
      <c r="J46" s="120" t="s">
        <v>87</v>
      </c>
      <c r="K46" s="136"/>
      <c r="L46" s="120" t="s">
        <v>87</v>
      </c>
      <c r="M46" s="136"/>
      <c r="N46" s="120" t="s">
        <v>87</v>
      </c>
      <c r="O46" s="136"/>
    </row>
    <row r="47" spans="1:15" s="132" customFormat="1" ht="76.5" customHeight="1">
      <c r="A47" s="136"/>
      <c r="B47" s="120" t="s">
        <v>88</v>
      </c>
      <c r="C47" s="136"/>
      <c r="D47" s="120" t="s">
        <v>88</v>
      </c>
      <c r="E47" s="136"/>
      <c r="F47" s="120" t="s">
        <v>88</v>
      </c>
      <c r="G47" s="136"/>
      <c r="H47" s="120" t="s">
        <v>88</v>
      </c>
      <c r="I47" s="136"/>
      <c r="J47" s="120" t="s">
        <v>88</v>
      </c>
      <c r="K47" s="136"/>
      <c r="L47" s="120" t="s">
        <v>88</v>
      </c>
      <c r="M47" s="136"/>
      <c r="N47" s="120" t="s">
        <v>88</v>
      </c>
      <c r="O47" s="136"/>
    </row>
    <row r="48" spans="1:15" s="132" customFormat="1" ht="76.5" customHeight="1">
      <c r="A48" s="136"/>
      <c r="B48" s="120" t="s">
        <v>89</v>
      </c>
      <c r="C48" s="136"/>
      <c r="D48" s="120" t="s">
        <v>89</v>
      </c>
      <c r="E48" s="136"/>
      <c r="F48" s="120" t="s">
        <v>89</v>
      </c>
      <c r="G48" s="136"/>
      <c r="H48" s="120" t="s">
        <v>89</v>
      </c>
      <c r="I48" s="136"/>
      <c r="J48" s="120" t="s">
        <v>89</v>
      </c>
      <c r="K48" s="136"/>
      <c r="L48" s="120" t="s">
        <v>89</v>
      </c>
      <c r="M48" s="136"/>
      <c r="N48" s="120" t="s">
        <v>89</v>
      </c>
      <c r="O48" s="136"/>
    </row>
    <row r="49" spans="1:15" s="132" customFormat="1" ht="25.5" customHeight="1">
      <c r="A49" s="136"/>
      <c r="C49" s="136"/>
      <c r="E49" s="136"/>
      <c r="G49" s="136"/>
      <c r="I49" s="136"/>
      <c r="K49" s="136"/>
      <c r="M49" s="136"/>
      <c r="O49" s="136"/>
    </row>
    <row r="50" spans="1:15" s="132" customFormat="1" ht="92.25" customHeight="1">
      <c r="A50" s="136"/>
      <c r="B50" s="133"/>
      <c r="C50" s="136"/>
      <c r="D50" s="133"/>
      <c r="E50" s="136"/>
      <c r="F50" s="133"/>
      <c r="G50" s="136"/>
      <c r="H50" s="133"/>
      <c r="I50" s="136"/>
      <c r="J50" s="133"/>
      <c r="K50" s="136"/>
      <c r="L50" s="133"/>
      <c r="M50" s="136"/>
      <c r="N50" s="133"/>
      <c r="O50" s="136"/>
    </row>
    <row r="51" spans="1:15" s="132" customFormat="1" ht="76.5" customHeight="1">
      <c r="A51" s="136"/>
      <c r="B51" s="104" t="s">
        <v>85</v>
      </c>
      <c r="C51" s="136"/>
      <c r="D51" s="104" t="s">
        <v>85</v>
      </c>
      <c r="E51" s="136"/>
      <c r="F51" s="104" t="s">
        <v>85</v>
      </c>
      <c r="G51" s="136"/>
      <c r="H51" s="104" t="s">
        <v>85</v>
      </c>
      <c r="I51" s="136"/>
      <c r="J51" s="104" t="s">
        <v>85</v>
      </c>
      <c r="K51" s="136"/>
      <c r="L51" s="104" t="s">
        <v>85</v>
      </c>
      <c r="M51" s="136"/>
      <c r="N51" s="104" t="s">
        <v>85</v>
      </c>
      <c r="O51" s="136"/>
    </row>
    <row r="52" spans="1:15" s="132" customFormat="1" ht="76.5" customHeight="1">
      <c r="A52" s="136"/>
      <c r="B52" s="104" t="s">
        <v>86</v>
      </c>
      <c r="C52" s="136"/>
      <c r="D52" s="104" t="s">
        <v>86</v>
      </c>
      <c r="E52" s="136"/>
      <c r="F52" s="104" t="s">
        <v>86</v>
      </c>
      <c r="G52" s="136"/>
      <c r="H52" s="104" t="s">
        <v>86</v>
      </c>
      <c r="I52" s="136"/>
      <c r="J52" s="104" t="s">
        <v>86</v>
      </c>
      <c r="K52" s="136"/>
      <c r="L52" s="104" t="s">
        <v>86</v>
      </c>
      <c r="M52" s="136"/>
      <c r="N52" s="104" t="s">
        <v>86</v>
      </c>
      <c r="O52" s="136"/>
    </row>
    <row r="53" spans="1:15" s="132" customFormat="1" ht="76.5" customHeight="1">
      <c r="A53" s="136"/>
      <c r="B53" s="104" t="s">
        <v>87</v>
      </c>
      <c r="C53" s="136"/>
      <c r="D53" s="104" t="s">
        <v>87</v>
      </c>
      <c r="E53" s="136"/>
      <c r="F53" s="104" t="s">
        <v>87</v>
      </c>
      <c r="G53" s="136"/>
      <c r="H53" s="104" t="s">
        <v>87</v>
      </c>
      <c r="I53" s="136"/>
      <c r="J53" s="104" t="s">
        <v>87</v>
      </c>
      <c r="K53" s="136"/>
      <c r="L53" s="104" t="s">
        <v>87</v>
      </c>
      <c r="M53" s="136"/>
      <c r="N53" s="104" t="s">
        <v>87</v>
      </c>
      <c r="O53" s="136"/>
    </row>
    <row r="54" spans="1:15" s="132" customFormat="1" ht="76.5" customHeight="1">
      <c r="A54" s="136"/>
      <c r="B54" s="104" t="s">
        <v>88</v>
      </c>
      <c r="C54" s="136"/>
      <c r="D54" s="104" t="s">
        <v>88</v>
      </c>
      <c r="E54" s="136"/>
      <c r="F54" s="104" t="s">
        <v>88</v>
      </c>
      <c r="G54" s="136"/>
      <c r="H54" s="104" t="s">
        <v>88</v>
      </c>
      <c r="I54" s="136"/>
      <c r="J54" s="104" t="s">
        <v>88</v>
      </c>
      <c r="K54" s="136"/>
      <c r="L54" s="104" t="s">
        <v>88</v>
      </c>
      <c r="M54" s="136"/>
      <c r="N54" s="104" t="s">
        <v>88</v>
      </c>
      <c r="O54" s="136"/>
    </row>
    <row r="55" spans="1:15" s="132" customFormat="1" ht="76.5" customHeight="1">
      <c r="A55" s="136"/>
      <c r="B55" s="104" t="s">
        <v>89</v>
      </c>
      <c r="C55" s="136"/>
      <c r="D55" s="104" t="s">
        <v>89</v>
      </c>
      <c r="E55" s="136"/>
      <c r="F55" s="104" t="s">
        <v>89</v>
      </c>
      <c r="G55" s="136"/>
      <c r="H55" s="104" t="s">
        <v>89</v>
      </c>
      <c r="I55" s="136"/>
      <c r="J55" s="104" t="s">
        <v>89</v>
      </c>
      <c r="K55" s="136"/>
      <c r="L55" s="104" t="s">
        <v>89</v>
      </c>
      <c r="M55" s="136"/>
      <c r="N55" s="104" t="s">
        <v>89</v>
      </c>
      <c r="O55" s="136"/>
    </row>
    <row r="56" spans="1:15" s="132" customFormat="1" ht="25.5" customHeight="1">
      <c r="A56" s="136"/>
      <c r="B56" s="135"/>
      <c r="C56" s="136"/>
      <c r="D56" s="135"/>
      <c r="E56" s="136"/>
      <c r="F56" s="135"/>
      <c r="G56" s="136"/>
      <c r="H56" s="135"/>
      <c r="I56" s="136"/>
      <c r="J56" s="135"/>
      <c r="K56" s="136"/>
      <c r="L56" s="135"/>
      <c r="M56" s="136"/>
      <c r="N56" s="135"/>
      <c r="O56" s="136"/>
    </row>
    <row r="57" spans="1:15" s="132" customFormat="1" ht="92.25" customHeight="1">
      <c r="A57" s="136"/>
      <c r="C57" s="136"/>
      <c r="E57" s="136"/>
      <c r="G57" s="136"/>
      <c r="I57" s="136"/>
      <c r="K57" s="136"/>
      <c r="M57" s="136"/>
      <c r="O57" s="136"/>
    </row>
    <row r="58" spans="1:15" s="132" customFormat="1" ht="76.5" customHeight="1">
      <c r="A58" s="136"/>
      <c r="B58" s="122" t="s">
        <v>90</v>
      </c>
      <c r="C58" s="136"/>
      <c r="D58" s="122" t="s">
        <v>90</v>
      </c>
      <c r="E58" s="136"/>
      <c r="F58" s="122" t="s">
        <v>90</v>
      </c>
      <c r="G58" s="136"/>
      <c r="H58" s="122" t="s">
        <v>90</v>
      </c>
      <c r="I58" s="136"/>
      <c r="J58" s="122" t="s">
        <v>90</v>
      </c>
      <c r="K58" s="136"/>
      <c r="L58" s="122" t="s">
        <v>90</v>
      </c>
      <c r="M58" s="136"/>
      <c r="N58" s="122" t="s">
        <v>90</v>
      </c>
      <c r="O58" s="136"/>
    </row>
    <row r="59" spans="1:15" s="132" customFormat="1" ht="76.5" customHeight="1">
      <c r="A59" s="136"/>
      <c r="B59" s="122" t="s">
        <v>91</v>
      </c>
      <c r="C59" s="136"/>
      <c r="D59" s="122" t="s">
        <v>91</v>
      </c>
      <c r="E59" s="136"/>
      <c r="F59" s="122" t="s">
        <v>91</v>
      </c>
      <c r="G59" s="136"/>
      <c r="H59" s="122" t="s">
        <v>91</v>
      </c>
      <c r="I59" s="136"/>
      <c r="J59" s="122" t="s">
        <v>91</v>
      </c>
      <c r="K59" s="136"/>
      <c r="L59" s="122" t="s">
        <v>91</v>
      </c>
      <c r="M59" s="136"/>
      <c r="N59" s="122" t="s">
        <v>91</v>
      </c>
      <c r="O59" s="136"/>
    </row>
    <row r="60" spans="1:15" s="132" customFormat="1" ht="76.5" customHeight="1">
      <c r="A60" s="136"/>
      <c r="B60" s="122" t="s">
        <v>92</v>
      </c>
      <c r="C60" s="136"/>
      <c r="D60" s="122" t="s">
        <v>92</v>
      </c>
      <c r="E60" s="136"/>
      <c r="F60" s="122" t="s">
        <v>92</v>
      </c>
      <c r="G60" s="136"/>
      <c r="H60" s="122" t="s">
        <v>92</v>
      </c>
      <c r="I60" s="136"/>
      <c r="J60" s="122" t="s">
        <v>92</v>
      </c>
      <c r="K60" s="136"/>
      <c r="L60" s="122" t="s">
        <v>92</v>
      </c>
      <c r="M60" s="136"/>
      <c r="N60" s="122" t="s">
        <v>92</v>
      </c>
      <c r="O60" s="136"/>
    </row>
    <row r="61" spans="1:15" s="132" customFormat="1" ht="76.5" customHeight="1">
      <c r="A61" s="136"/>
      <c r="B61" s="122" t="s">
        <v>93</v>
      </c>
      <c r="C61" s="136"/>
      <c r="D61" s="122" t="s">
        <v>93</v>
      </c>
      <c r="E61" s="136"/>
      <c r="F61" s="122" t="s">
        <v>93</v>
      </c>
      <c r="G61" s="136"/>
      <c r="H61" s="122" t="s">
        <v>93</v>
      </c>
      <c r="I61" s="136"/>
      <c r="J61" s="122" t="s">
        <v>93</v>
      </c>
      <c r="K61" s="136"/>
      <c r="L61" s="122" t="s">
        <v>93</v>
      </c>
      <c r="M61" s="136"/>
      <c r="N61" s="122" t="s">
        <v>93</v>
      </c>
      <c r="O61" s="136"/>
    </row>
    <row r="62" spans="1:15" s="132" customFormat="1" ht="76.5" customHeight="1">
      <c r="A62" s="136"/>
      <c r="B62" s="122" t="s">
        <v>94</v>
      </c>
      <c r="C62" s="136"/>
      <c r="D62" s="122" t="s">
        <v>94</v>
      </c>
      <c r="E62" s="136"/>
      <c r="F62" s="122" t="s">
        <v>94</v>
      </c>
      <c r="G62" s="136"/>
      <c r="H62" s="122" t="s">
        <v>94</v>
      </c>
      <c r="I62" s="136"/>
      <c r="J62" s="122" t="s">
        <v>94</v>
      </c>
      <c r="K62" s="136"/>
      <c r="L62" s="122" t="s">
        <v>94</v>
      </c>
      <c r="M62" s="136"/>
      <c r="N62" s="122" t="s">
        <v>94</v>
      </c>
      <c r="O62" s="136"/>
    </row>
    <row r="63" spans="1:15" s="132" customFormat="1" ht="25.5" customHeight="1">
      <c r="A63" s="136"/>
      <c r="C63" s="136"/>
      <c r="E63" s="136"/>
      <c r="G63" s="136"/>
      <c r="I63" s="136"/>
      <c r="K63" s="136"/>
      <c r="M63" s="136"/>
      <c r="O63" s="136"/>
    </row>
    <row r="64" spans="1:15" s="132" customFormat="1" ht="92.25" customHeight="1">
      <c r="A64" s="136"/>
      <c r="B64" s="135"/>
      <c r="C64" s="136"/>
      <c r="D64"/>
      <c r="E64" s="136"/>
      <c r="F64" s="135"/>
      <c r="G64" s="136"/>
      <c r="H64" s="135"/>
      <c r="I64" s="136"/>
      <c r="J64" s="135"/>
      <c r="K64" s="136"/>
      <c r="L64" s="135"/>
      <c r="M64" s="136"/>
      <c r="N64" s="135"/>
      <c r="O64" s="136"/>
    </row>
    <row r="65" spans="1:16" s="132" customFormat="1" ht="76.5" customHeight="1">
      <c r="A65" s="136"/>
      <c r="B65" s="105" t="s">
        <v>90</v>
      </c>
      <c r="C65" s="136"/>
      <c r="D65" s="105" t="s">
        <v>90</v>
      </c>
      <c r="E65" s="136"/>
      <c r="F65" s="105" t="s">
        <v>90</v>
      </c>
      <c r="G65" s="136"/>
      <c r="H65" s="105" t="s">
        <v>90</v>
      </c>
      <c r="I65" s="136"/>
      <c r="J65" s="105" t="s">
        <v>90</v>
      </c>
      <c r="K65" s="136"/>
      <c r="L65" s="105" t="s">
        <v>90</v>
      </c>
      <c r="M65" s="136"/>
      <c r="N65" s="105" t="s">
        <v>90</v>
      </c>
      <c r="O65" s="136"/>
    </row>
    <row r="66" spans="1:16" s="132" customFormat="1" ht="76.5" customHeight="1">
      <c r="A66" s="136"/>
      <c r="B66" s="105" t="s">
        <v>91</v>
      </c>
      <c r="C66" s="136"/>
      <c r="D66" s="105" t="s">
        <v>91</v>
      </c>
      <c r="E66" s="136"/>
      <c r="F66" s="105" t="s">
        <v>91</v>
      </c>
      <c r="G66" s="136"/>
      <c r="H66" s="105" t="s">
        <v>91</v>
      </c>
      <c r="I66" s="136"/>
      <c r="J66" s="105" t="s">
        <v>91</v>
      </c>
      <c r="K66" s="136"/>
      <c r="L66" s="105" t="s">
        <v>91</v>
      </c>
      <c r="M66" s="136"/>
      <c r="N66" s="105" t="s">
        <v>91</v>
      </c>
      <c r="O66" s="136"/>
    </row>
    <row r="67" spans="1:16" s="132" customFormat="1" ht="76.5" customHeight="1">
      <c r="A67" s="136"/>
      <c r="B67" s="105" t="s">
        <v>92</v>
      </c>
      <c r="C67" s="136"/>
      <c r="D67" s="105" t="s">
        <v>92</v>
      </c>
      <c r="E67" s="136"/>
      <c r="F67" s="105" t="s">
        <v>92</v>
      </c>
      <c r="G67" s="136"/>
      <c r="H67" s="105" t="s">
        <v>92</v>
      </c>
      <c r="I67" s="136"/>
      <c r="J67" s="105" t="s">
        <v>92</v>
      </c>
      <c r="K67" s="136"/>
      <c r="L67" s="105" t="s">
        <v>92</v>
      </c>
      <c r="M67" s="136"/>
      <c r="N67" s="105" t="s">
        <v>92</v>
      </c>
      <c r="O67" s="136"/>
    </row>
    <row r="68" spans="1:16" s="132" customFormat="1" ht="76.5" customHeight="1">
      <c r="A68" s="136"/>
      <c r="B68" s="105" t="s">
        <v>93</v>
      </c>
      <c r="C68" s="136"/>
      <c r="D68" s="105" t="s">
        <v>93</v>
      </c>
      <c r="E68" s="136"/>
      <c r="F68" s="105" t="s">
        <v>93</v>
      </c>
      <c r="G68" s="136"/>
      <c r="H68" s="105" t="s">
        <v>93</v>
      </c>
      <c r="I68" s="136"/>
      <c r="J68" s="105" t="s">
        <v>93</v>
      </c>
      <c r="K68" s="136"/>
      <c r="L68" s="105" t="s">
        <v>93</v>
      </c>
      <c r="M68" s="136"/>
      <c r="N68" s="105" t="s">
        <v>93</v>
      </c>
      <c r="O68" s="136"/>
    </row>
    <row r="69" spans="1:16" s="132" customFormat="1" ht="76.5" customHeight="1">
      <c r="A69" s="136"/>
      <c r="B69" s="105" t="s">
        <v>94</v>
      </c>
      <c r="C69" s="136"/>
      <c r="D69" s="105" t="s">
        <v>94</v>
      </c>
      <c r="E69" s="136"/>
      <c r="F69" s="105" t="s">
        <v>94</v>
      </c>
      <c r="G69" s="136"/>
      <c r="H69" s="105" t="s">
        <v>94</v>
      </c>
      <c r="I69" s="136"/>
      <c r="J69" s="105" t="s">
        <v>94</v>
      </c>
      <c r="K69" s="136"/>
      <c r="L69" s="105" t="s">
        <v>94</v>
      </c>
      <c r="M69" s="136"/>
      <c r="N69" s="105" t="s">
        <v>94</v>
      </c>
      <c r="O69" s="136"/>
    </row>
    <row r="70" spans="1:16" s="132" customFormat="1" ht="25.5" customHeight="1">
      <c r="A70" s="136"/>
      <c r="C70" s="136"/>
      <c r="E70" s="136"/>
      <c r="G70" s="136"/>
      <c r="I70" s="136"/>
      <c r="K70" s="136"/>
      <c r="M70" s="136"/>
      <c r="O70" s="136"/>
    </row>
    <row r="71" spans="1:16" s="132" customFormat="1" ht="92.25" customHeight="1">
      <c r="A71" s="136"/>
      <c r="C71" s="136"/>
      <c r="E71" s="136"/>
      <c r="G71" s="136"/>
      <c r="I71" s="136"/>
      <c r="K71" s="136"/>
      <c r="M71" s="136"/>
      <c r="O71" s="136"/>
    </row>
    <row r="72" spans="1:16" s="132" customFormat="1" ht="76.5" customHeight="1">
      <c r="A72" s="136"/>
      <c r="B72" s="123" t="s">
        <v>96</v>
      </c>
      <c r="C72" s="136"/>
      <c r="D72" s="123" t="s">
        <v>96</v>
      </c>
      <c r="E72" s="136"/>
      <c r="F72" s="123" t="s">
        <v>96</v>
      </c>
      <c r="G72" s="136"/>
      <c r="H72" s="123" t="s">
        <v>96</v>
      </c>
      <c r="I72" s="136"/>
      <c r="J72" s="123" t="s">
        <v>96</v>
      </c>
      <c r="K72" s="136"/>
      <c r="L72" s="123" t="s">
        <v>96</v>
      </c>
      <c r="M72" s="136"/>
      <c r="N72" s="123" t="s">
        <v>96</v>
      </c>
      <c r="O72" s="136"/>
    </row>
    <row r="73" spans="1:16" s="132" customFormat="1" ht="76.5" customHeight="1">
      <c r="A73" s="136"/>
      <c r="B73" s="123" t="s">
        <v>26</v>
      </c>
      <c r="C73" s="136"/>
      <c r="D73" s="123" t="s">
        <v>26</v>
      </c>
      <c r="E73" s="136"/>
      <c r="F73" s="123" t="s">
        <v>26</v>
      </c>
      <c r="G73" s="136"/>
      <c r="H73" s="123" t="s">
        <v>26</v>
      </c>
      <c r="I73" s="136"/>
      <c r="J73" s="123" t="s">
        <v>26</v>
      </c>
      <c r="K73" s="136"/>
      <c r="L73" s="123" t="s">
        <v>26</v>
      </c>
      <c r="M73" s="136"/>
      <c r="N73" s="123" t="s">
        <v>26</v>
      </c>
      <c r="O73" s="136"/>
    </row>
    <row r="74" spans="1:16" s="132" customFormat="1" ht="76.5" customHeight="1">
      <c r="A74" s="136"/>
      <c r="B74" s="123" t="s">
        <v>27</v>
      </c>
      <c r="C74" s="136"/>
      <c r="D74" s="123" t="s">
        <v>27</v>
      </c>
      <c r="E74" s="136"/>
      <c r="F74" s="123" t="s">
        <v>27</v>
      </c>
      <c r="G74" s="136"/>
      <c r="H74" s="123" t="s">
        <v>27</v>
      </c>
      <c r="I74" s="136"/>
      <c r="J74" s="123" t="s">
        <v>27</v>
      </c>
      <c r="K74" s="136"/>
      <c r="L74" s="123" t="s">
        <v>27</v>
      </c>
      <c r="M74" s="136"/>
      <c r="N74" s="123" t="s">
        <v>27</v>
      </c>
      <c r="O74" s="136"/>
    </row>
    <row r="75" spans="1:16" s="132" customFormat="1" ht="76.5" customHeight="1">
      <c r="A75" s="136"/>
      <c r="B75" s="123" t="s">
        <v>28</v>
      </c>
      <c r="C75" s="136"/>
      <c r="D75" s="123" t="s">
        <v>28</v>
      </c>
      <c r="E75" s="136"/>
      <c r="F75" s="123" t="s">
        <v>28</v>
      </c>
      <c r="G75" s="136"/>
      <c r="H75" s="123" t="s">
        <v>28</v>
      </c>
      <c r="I75" s="136"/>
      <c r="J75" s="123" t="s">
        <v>28</v>
      </c>
      <c r="K75" s="136"/>
      <c r="L75" s="123" t="s">
        <v>28</v>
      </c>
      <c r="M75" s="136"/>
      <c r="N75" s="123" t="s">
        <v>28</v>
      </c>
      <c r="O75" s="136"/>
    </row>
    <row r="76" spans="1:16" s="132" customFormat="1" ht="76.5" customHeight="1">
      <c r="A76" s="136"/>
      <c r="B76" s="123" t="s">
        <v>29</v>
      </c>
      <c r="C76" s="136"/>
      <c r="D76" s="123" t="s">
        <v>29</v>
      </c>
      <c r="E76" s="136"/>
      <c r="F76" s="123" t="s">
        <v>29</v>
      </c>
      <c r="G76" s="136"/>
      <c r="H76" s="123" t="s">
        <v>29</v>
      </c>
      <c r="I76" s="136"/>
      <c r="J76" s="123" t="s">
        <v>29</v>
      </c>
      <c r="K76" s="136"/>
      <c r="L76" s="123" t="s">
        <v>29</v>
      </c>
      <c r="M76" s="136"/>
      <c r="N76" s="123" t="s">
        <v>29</v>
      </c>
      <c r="O76" s="136"/>
    </row>
    <row r="77" spans="1:16" s="132" customFormat="1" ht="25.5" customHeight="1">
      <c r="A77" s="136"/>
      <c r="C77" s="136"/>
      <c r="E77" s="136"/>
      <c r="G77" s="136"/>
      <c r="I77" s="136"/>
      <c r="K77" s="136"/>
      <c r="M77" s="136"/>
      <c r="O77" s="136"/>
    </row>
    <row r="78" spans="1:16" s="132" customFormat="1" ht="92.25" customHeight="1">
      <c r="A78" s="136"/>
      <c r="B78" s="133"/>
      <c r="C78" s="136"/>
      <c r="D78" s="133"/>
      <c r="E78" s="136"/>
      <c r="F78" s="133"/>
      <c r="G78" s="136"/>
      <c r="H78" s="133"/>
      <c r="I78" s="136"/>
      <c r="J78" s="133"/>
      <c r="K78" s="136"/>
      <c r="L78" s="133"/>
      <c r="M78" s="136"/>
      <c r="N78" s="133"/>
      <c r="O78" s="136"/>
      <c r="P78" s="133"/>
    </row>
    <row r="79" spans="1:16" s="132" customFormat="1" ht="76.5" customHeight="1">
      <c r="A79" s="136"/>
      <c r="B79" s="106" t="s">
        <v>96</v>
      </c>
      <c r="C79" s="136"/>
      <c r="D79" s="106" t="s">
        <v>96</v>
      </c>
      <c r="E79" s="136"/>
      <c r="F79" s="106" t="s">
        <v>96</v>
      </c>
      <c r="G79" s="136"/>
      <c r="H79" s="106" t="s">
        <v>96</v>
      </c>
      <c r="I79" s="136"/>
      <c r="J79" s="106" t="s">
        <v>96</v>
      </c>
      <c r="K79" s="136"/>
      <c r="L79" s="106" t="s">
        <v>96</v>
      </c>
      <c r="M79" s="136"/>
      <c r="N79" s="106" t="s">
        <v>96</v>
      </c>
      <c r="O79" s="136"/>
    </row>
    <row r="80" spans="1:16" s="132" customFormat="1" ht="76.5" customHeight="1">
      <c r="A80" s="136"/>
      <c r="B80" s="106" t="s">
        <v>26</v>
      </c>
      <c r="C80" s="136"/>
      <c r="D80" s="106" t="s">
        <v>26</v>
      </c>
      <c r="E80" s="136"/>
      <c r="F80" s="106" t="s">
        <v>26</v>
      </c>
      <c r="G80" s="136"/>
      <c r="H80" s="106" t="s">
        <v>26</v>
      </c>
      <c r="I80" s="136"/>
      <c r="J80" s="106" t="s">
        <v>26</v>
      </c>
      <c r="K80" s="136"/>
      <c r="L80" s="106" t="s">
        <v>26</v>
      </c>
      <c r="M80" s="136"/>
      <c r="N80" s="106" t="s">
        <v>26</v>
      </c>
      <c r="O80" s="136"/>
    </row>
    <row r="81" spans="1:15" s="132" customFormat="1" ht="76.5" customHeight="1">
      <c r="A81" s="136"/>
      <c r="B81" s="106" t="s">
        <v>27</v>
      </c>
      <c r="C81" s="136"/>
      <c r="D81" s="106" t="s">
        <v>27</v>
      </c>
      <c r="E81" s="136"/>
      <c r="F81" s="106" t="s">
        <v>27</v>
      </c>
      <c r="G81" s="136"/>
      <c r="H81" s="106" t="s">
        <v>27</v>
      </c>
      <c r="I81" s="136"/>
      <c r="J81" s="106" t="s">
        <v>27</v>
      </c>
      <c r="K81" s="136"/>
      <c r="L81" s="106" t="s">
        <v>27</v>
      </c>
      <c r="M81" s="136"/>
      <c r="N81" s="106" t="s">
        <v>27</v>
      </c>
      <c r="O81" s="136"/>
    </row>
    <row r="82" spans="1:15" s="132" customFormat="1" ht="76.5" customHeight="1">
      <c r="A82" s="136"/>
      <c r="B82" s="106" t="s">
        <v>28</v>
      </c>
      <c r="C82" s="136"/>
      <c r="D82" s="106" t="s">
        <v>28</v>
      </c>
      <c r="E82" s="136"/>
      <c r="F82" s="106" t="s">
        <v>28</v>
      </c>
      <c r="G82" s="136"/>
      <c r="H82" s="106" t="s">
        <v>28</v>
      </c>
      <c r="I82" s="136"/>
      <c r="J82" s="106" t="s">
        <v>28</v>
      </c>
      <c r="K82" s="136"/>
      <c r="L82" s="106" t="s">
        <v>28</v>
      </c>
      <c r="M82" s="136"/>
      <c r="N82" s="106" t="s">
        <v>28</v>
      </c>
      <c r="O82" s="136"/>
    </row>
    <row r="83" spans="1:15" s="132" customFormat="1" ht="76.5" customHeight="1">
      <c r="A83" s="136"/>
      <c r="B83" s="106" t="s">
        <v>29</v>
      </c>
      <c r="C83" s="136"/>
      <c r="D83" s="106" t="s">
        <v>29</v>
      </c>
      <c r="E83" s="136"/>
      <c r="F83" s="106" t="s">
        <v>29</v>
      </c>
      <c r="G83" s="136"/>
      <c r="H83" s="106" t="s">
        <v>29</v>
      </c>
      <c r="I83" s="136"/>
      <c r="J83" s="106" t="s">
        <v>29</v>
      </c>
      <c r="K83" s="136"/>
      <c r="L83" s="106" t="s">
        <v>29</v>
      </c>
      <c r="M83" s="136"/>
      <c r="N83" s="106" t="s">
        <v>29</v>
      </c>
      <c r="O83" s="136"/>
    </row>
    <row r="84" spans="1:15" s="132" customFormat="1" ht="25.5" customHeight="1">
      <c r="A84" s="136"/>
      <c r="C84" s="136"/>
      <c r="E84" s="136"/>
      <c r="G84" s="136"/>
      <c r="I84" s="136"/>
      <c r="K84" s="136"/>
      <c r="M84" s="136"/>
      <c r="O84" s="136"/>
    </row>
    <row r="85" spans="1:15" ht="92.25" customHeight="1"/>
    <row r="86" spans="1:15" ht="76.5" customHeight="1">
      <c r="B86" s="124" t="s">
        <v>30</v>
      </c>
      <c r="D86" s="124" t="s">
        <v>30</v>
      </c>
      <c r="F86" s="124" t="s">
        <v>30</v>
      </c>
      <c r="H86" s="124" t="s">
        <v>30</v>
      </c>
      <c r="J86" s="124" t="s">
        <v>30</v>
      </c>
      <c r="L86" s="124" t="s">
        <v>30</v>
      </c>
      <c r="N86" s="124" t="s">
        <v>30</v>
      </c>
    </row>
    <row r="87" spans="1:15" ht="76.5" customHeight="1">
      <c r="B87" s="124" t="s">
        <v>31</v>
      </c>
      <c r="D87" s="124" t="s">
        <v>31</v>
      </c>
      <c r="F87" s="124" t="s">
        <v>31</v>
      </c>
      <c r="H87" s="124" t="s">
        <v>31</v>
      </c>
      <c r="J87" s="124" t="s">
        <v>31</v>
      </c>
      <c r="L87" s="124" t="s">
        <v>31</v>
      </c>
      <c r="N87" s="124" t="s">
        <v>31</v>
      </c>
    </row>
    <row r="88" spans="1:15" ht="76.5" customHeight="1">
      <c r="B88" s="124" t="s">
        <v>32</v>
      </c>
      <c r="D88" s="124" t="s">
        <v>32</v>
      </c>
      <c r="F88" s="124" t="s">
        <v>32</v>
      </c>
      <c r="H88" s="124" t="s">
        <v>32</v>
      </c>
      <c r="J88" s="124" t="s">
        <v>32</v>
      </c>
      <c r="L88" s="124" t="s">
        <v>32</v>
      </c>
      <c r="N88" s="124" t="s">
        <v>32</v>
      </c>
    </row>
    <row r="89" spans="1:15" ht="76.5" customHeight="1">
      <c r="B89" s="124" t="s">
        <v>33</v>
      </c>
      <c r="D89" s="124" t="s">
        <v>33</v>
      </c>
      <c r="F89" s="124" t="s">
        <v>33</v>
      </c>
      <c r="H89" s="124" t="s">
        <v>33</v>
      </c>
      <c r="J89" s="124" t="s">
        <v>33</v>
      </c>
      <c r="L89" s="124" t="s">
        <v>33</v>
      </c>
      <c r="N89" s="124" t="s">
        <v>33</v>
      </c>
    </row>
    <row r="90" spans="1:15" ht="76.5" customHeight="1">
      <c r="B90" s="124" t="s">
        <v>34</v>
      </c>
      <c r="D90" s="124" t="s">
        <v>34</v>
      </c>
      <c r="F90" s="124" t="s">
        <v>34</v>
      </c>
      <c r="H90" s="124" t="s">
        <v>34</v>
      </c>
      <c r="J90" s="124" t="s">
        <v>34</v>
      </c>
      <c r="L90" s="124" t="s">
        <v>34</v>
      </c>
      <c r="N90" s="124" t="s">
        <v>34</v>
      </c>
    </row>
    <row r="91" spans="1:15" ht="25.5" customHeight="1"/>
    <row r="92" spans="1:15" ht="92.25" customHeight="1">
      <c r="A92" s="137"/>
      <c r="B92" s="135"/>
      <c r="C92" s="137"/>
      <c r="D92" s="135"/>
      <c r="E92" s="137"/>
      <c r="F92" s="135"/>
      <c r="G92" s="137"/>
      <c r="H92" s="135"/>
      <c r="I92" s="137"/>
      <c r="J92" s="135"/>
      <c r="K92" s="137"/>
      <c r="L92" s="135"/>
      <c r="M92" s="137"/>
      <c r="N92" s="135"/>
    </row>
    <row r="93" spans="1:15" ht="76.5" customHeight="1">
      <c r="B93" s="107" t="s">
        <v>30</v>
      </c>
      <c r="D93" s="107" t="s">
        <v>30</v>
      </c>
      <c r="F93" s="107" t="s">
        <v>30</v>
      </c>
      <c r="H93" s="107" t="s">
        <v>30</v>
      </c>
      <c r="J93" s="107" t="s">
        <v>30</v>
      </c>
      <c r="L93" s="107" t="s">
        <v>30</v>
      </c>
      <c r="N93" s="107" t="s">
        <v>30</v>
      </c>
    </row>
    <row r="94" spans="1:15" ht="76.5" customHeight="1">
      <c r="B94" s="107" t="s">
        <v>31</v>
      </c>
      <c r="D94" s="107" t="s">
        <v>31</v>
      </c>
      <c r="F94" s="107" t="s">
        <v>31</v>
      </c>
      <c r="H94" s="107" t="s">
        <v>31</v>
      </c>
      <c r="J94" s="107" t="s">
        <v>31</v>
      </c>
      <c r="L94" s="107" t="s">
        <v>31</v>
      </c>
      <c r="N94" s="107" t="s">
        <v>31</v>
      </c>
    </row>
    <row r="95" spans="1:15" ht="76.5" customHeight="1">
      <c r="B95" s="107" t="s">
        <v>32</v>
      </c>
      <c r="D95" s="107" t="s">
        <v>32</v>
      </c>
      <c r="F95" s="107" t="s">
        <v>32</v>
      </c>
      <c r="H95" s="107" t="s">
        <v>32</v>
      </c>
      <c r="J95" s="107" t="s">
        <v>32</v>
      </c>
      <c r="L95" s="107" t="s">
        <v>32</v>
      </c>
      <c r="N95" s="107" t="s">
        <v>32</v>
      </c>
    </row>
    <row r="96" spans="1:15" ht="76.5" customHeight="1">
      <c r="B96" s="107" t="s">
        <v>33</v>
      </c>
      <c r="D96" s="107" t="s">
        <v>33</v>
      </c>
      <c r="F96" s="107" t="s">
        <v>33</v>
      </c>
      <c r="H96" s="107" t="s">
        <v>33</v>
      </c>
      <c r="J96" s="107" t="s">
        <v>33</v>
      </c>
      <c r="L96" s="107" t="s">
        <v>33</v>
      </c>
      <c r="N96" s="107" t="s">
        <v>33</v>
      </c>
    </row>
    <row r="97" spans="1:16" ht="76.5" customHeight="1">
      <c r="B97" s="107" t="s">
        <v>34</v>
      </c>
      <c r="D97" s="107" t="s">
        <v>34</v>
      </c>
      <c r="F97" s="107" t="s">
        <v>34</v>
      </c>
      <c r="H97" s="107" t="s">
        <v>34</v>
      </c>
      <c r="J97" s="107" t="s">
        <v>34</v>
      </c>
      <c r="L97" s="107" t="s">
        <v>34</v>
      </c>
      <c r="N97" s="107" t="s">
        <v>34</v>
      </c>
    </row>
    <row r="98" spans="1:16" ht="25.5" customHeight="1"/>
    <row r="99" spans="1:16" ht="92.25" customHeight="1"/>
    <row r="100" spans="1:16" ht="76.5" customHeight="1">
      <c r="B100" s="125" t="s">
        <v>35</v>
      </c>
      <c r="D100" s="125" t="s">
        <v>35</v>
      </c>
      <c r="F100" s="125" t="s">
        <v>35</v>
      </c>
      <c r="H100" s="125" t="s">
        <v>35</v>
      </c>
      <c r="J100" s="125" t="s">
        <v>35</v>
      </c>
      <c r="L100" s="125" t="s">
        <v>35</v>
      </c>
      <c r="N100" s="125" t="s">
        <v>35</v>
      </c>
    </row>
    <row r="101" spans="1:16" ht="76.5" customHeight="1">
      <c r="B101" s="125" t="s">
        <v>36</v>
      </c>
      <c r="D101" s="125" t="s">
        <v>36</v>
      </c>
      <c r="F101" s="125" t="s">
        <v>36</v>
      </c>
      <c r="H101" s="125" t="s">
        <v>36</v>
      </c>
      <c r="J101" s="125" t="s">
        <v>36</v>
      </c>
      <c r="L101" s="125" t="s">
        <v>36</v>
      </c>
      <c r="N101" s="125" t="s">
        <v>36</v>
      </c>
    </row>
    <row r="102" spans="1:16" ht="76.5" customHeight="1">
      <c r="B102" s="125" t="s">
        <v>37</v>
      </c>
      <c r="D102" s="125" t="s">
        <v>37</v>
      </c>
      <c r="F102" s="125" t="s">
        <v>37</v>
      </c>
      <c r="H102" s="125" t="s">
        <v>37</v>
      </c>
      <c r="J102" s="125" t="s">
        <v>37</v>
      </c>
      <c r="L102" s="125" t="s">
        <v>37</v>
      </c>
      <c r="N102" s="125" t="s">
        <v>37</v>
      </c>
    </row>
    <row r="103" spans="1:16" ht="76.5" customHeight="1">
      <c r="B103" s="125" t="s">
        <v>38</v>
      </c>
      <c r="D103" s="125" t="s">
        <v>38</v>
      </c>
      <c r="F103" s="125" t="s">
        <v>38</v>
      </c>
      <c r="H103" s="125" t="s">
        <v>38</v>
      </c>
      <c r="J103" s="125" t="s">
        <v>38</v>
      </c>
      <c r="L103" s="125" t="s">
        <v>38</v>
      </c>
      <c r="N103" s="125" t="s">
        <v>38</v>
      </c>
    </row>
    <row r="104" spans="1:16" ht="76.5" customHeight="1">
      <c r="B104" s="125" t="s">
        <v>39</v>
      </c>
      <c r="D104" s="125" t="s">
        <v>39</v>
      </c>
      <c r="F104" s="125" t="s">
        <v>39</v>
      </c>
      <c r="H104" s="125" t="s">
        <v>39</v>
      </c>
      <c r="J104" s="125" t="s">
        <v>39</v>
      </c>
      <c r="L104" s="125" t="s">
        <v>39</v>
      </c>
      <c r="N104" s="125" t="s">
        <v>39</v>
      </c>
    </row>
    <row r="105" spans="1:16" ht="25.5" customHeight="1"/>
    <row r="106" spans="1:16" ht="92.25" customHeight="1">
      <c r="A106" s="137"/>
      <c r="B106" s="133"/>
      <c r="C106" s="137"/>
      <c r="D106" s="133"/>
      <c r="E106" s="137"/>
      <c r="F106" s="133"/>
      <c r="G106" s="137"/>
      <c r="H106" s="133"/>
      <c r="I106" s="137"/>
      <c r="J106" s="133"/>
      <c r="K106" s="137"/>
      <c r="L106" s="133"/>
      <c r="M106" s="137"/>
      <c r="N106" s="133"/>
      <c r="O106" s="137"/>
      <c r="P106" s="133"/>
    </row>
    <row r="107" spans="1:16" ht="76.5" customHeight="1">
      <c r="B107" s="108" t="s">
        <v>35</v>
      </c>
      <c r="D107" s="108" t="s">
        <v>35</v>
      </c>
      <c r="F107" s="108" t="s">
        <v>35</v>
      </c>
      <c r="H107" s="108" t="s">
        <v>35</v>
      </c>
      <c r="J107" s="108" t="s">
        <v>35</v>
      </c>
      <c r="L107" s="108" t="s">
        <v>35</v>
      </c>
      <c r="N107" s="108" t="s">
        <v>35</v>
      </c>
    </row>
    <row r="108" spans="1:16" ht="76.5" customHeight="1">
      <c r="B108" s="108" t="s">
        <v>36</v>
      </c>
      <c r="D108" s="108" t="s">
        <v>36</v>
      </c>
      <c r="F108" s="108" t="s">
        <v>36</v>
      </c>
      <c r="H108" s="108" t="s">
        <v>36</v>
      </c>
      <c r="J108" s="108" t="s">
        <v>36</v>
      </c>
      <c r="L108" s="108" t="s">
        <v>36</v>
      </c>
      <c r="N108" s="108" t="s">
        <v>36</v>
      </c>
    </row>
    <row r="109" spans="1:16" ht="76.5" customHeight="1">
      <c r="B109" s="108" t="s">
        <v>37</v>
      </c>
      <c r="D109" s="108" t="s">
        <v>37</v>
      </c>
      <c r="F109" s="108" t="s">
        <v>37</v>
      </c>
      <c r="H109" s="108" t="s">
        <v>37</v>
      </c>
      <c r="J109" s="108" t="s">
        <v>37</v>
      </c>
      <c r="L109" s="108" t="s">
        <v>37</v>
      </c>
      <c r="N109" s="108" t="s">
        <v>37</v>
      </c>
    </row>
    <row r="110" spans="1:16" ht="76.5" customHeight="1">
      <c r="B110" s="108" t="s">
        <v>38</v>
      </c>
      <c r="D110" s="108" t="s">
        <v>38</v>
      </c>
      <c r="F110" s="108" t="s">
        <v>38</v>
      </c>
      <c r="H110" s="108" t="s">
        <v>38</v>
      </c>
      <c r="J110" s="108" t="s">
        <v>38</v>
      </c>
      <c r="L110" s="108" t="s">
        <v>38</v>
      </c>
      <c r="N110" s="108" t="s">
        <v>38</v>
      </c>
    </row>
    <row r="111" spans="1:16" ht="76.5" customHeight="1">
      <c r="B111" s="108" t="s">
        <v>39</v>
      </c>
      <c r="D111" s="108" t="s">
        <v>39</v>
      </c>
      <c r="F111" s="108" t="s">
        <v>39</v>
      </c>
      <c r="H111" s="108" t="s">
        <v>39</v>
      </c>
      <c r="J111" s="108" t="s">
        <v>39</v>
      </c>
      <c r="L111" s="108" t="s">
        <v>39</v>
      </c>
      <c r="N111" s="108" t="s">
        <v>39</v>
      </c>
    </row>
    <row r="112" spans="1:16" ht="25.5" customHeight="1"/>
    <row r="113" spans="2:14" ht="92.25" customHeight="1"/>
    <row r="114" spans="2:14" ht="76.5" customHeight="1">
      <c r="B114" s="126" t="s">
        <v>40</v>
      </c>
      <c r="D114" s="126" t="s">
        <v>40</v>
      </c>
      <c r="F114" s="126" t="s">
        <v>40</v>
      </c>
      <c r="H114" s="126" t="s">
        <v>40</v>
      </c>
      <c r="J114" s="126" t="s">
        <v>40</v>
      </c>
      <c r="L114" s="126" t="s">
        <v>40</v>
      </c>
      <c r="N114" s="126" t="s">
        <v>40</v>
      </c>
    </row>
    <row r="115" spans="2:14" ht="76.5" customHeight="1">
      <c r="B115" s="126" t="s">
        <v>41</v>
      </c>
      <c r="D115" s="126" t="s">
        <v>41</v>
      </c>
      <c r="F115" s="126" t="s">
        <v>41</v>
      </c>
      <c r="H115" s="126" t="s">
        <v>41</v>
      </c>
      <c r="J115" s="126" t="s">
        <v>41</v>
      </c>
      <c r="L115" s="126" t="s">
        <v>41</v>
      </c>
      <c r="N115" s="126" t="s">
        <v>41</v>
      </c>
    </row>
    <row r="116" spans="2:14" ht="76.5" customHeight="1">
      <c r="B116" s="126" t="s">
        <v>42</v>
      </c>
      <c r="D116" s="126" t="s">
        <v>42</v>
      </c>
      <c r="F116" s="126" t="s">
        <v>42</v>
      </c>
      <c r="H116" s="126" t="s">
        <v>42</v>
      </c>
      <c r="J116" s="126" t="s">
        <v>42</v>
      </c>
      <c r="L116" s="126" t="s">
        <v>42</v>
      </c>
      <c r="N116" s="126" t="s">
        <v>42</v>
      </c>
    </row>
    <row r="117" spans="2:14" ht="76.5" customHeight="1">
      <c r="B117" s="126" t="s">
        <v>43</v>
      </c>
      <c r="D117" s="126" t="s">
        <v>43</v>
      </c>
      <c r="F117" s="126" t="s">
        <v>43</v>
      </c>
      <c r="H117" s="126" t="s">
        <v>43</v>
      </c>
      <c r="J117" s="126" t="s">
        <v>43</v>
      </c>
      <c r="L117" s="126" t="s">
        <v>43</v>
      </c>
      <c r="N117" s="126" t="s">
        <v>43</v>
      </c>
    </row>
    <row r="118" spans="2:14" ht="76.5" customHeight="1">
      <c r="B118" s="126" t="s">
        <v>44</v>
      </c>
      <c r="D118" s="126" t="s">
        <v>44</v>
      </c>
      <c r="F118" s="126" t="s">
        <v>44</v>
      </c>
      <c r="H118" s="126" t="s">
        <v>44</v>
      </c>
      <c r="J118" s="126" t="s">
        <v>44</v>
      </c>
      <c r="L118" s="126" t="s">
        <v>44</v>
      </c>
      <c r="N118" s="126" t="s">
        <v>44</v>
      </c>
    </row>
    <row r="119" spans="2:14" ht="25.5" customHeight="1"/>
    <row r="120" spans="2:14" ht="92.25" customHeight="1">
      <c r="B120" s="135"/>
      <c r="D120" s="135"/>
      <c r="F120" s="135"/>
      <c r="H120" s="135"/>
      <c r="J120" s="135"/>
      <c r="L120" s="135"/>
      <c r="N120" s="135"/>
    </row>
    <row r="121" spans="2:14" ht="76.5" customHeight="1">
      <c r="B121" s="109" t="s">
        <v>40</v>
      </c>
      <c r="D121" s="109" t="s">
        <v>40</v>
      </c>
      <c r="F121" s="109" t="s">
        <v>40</v>
      </c>
      <c r="H121" s="109" t="s">
        <v>40</v>
      </c>
      <c r="J121" s="109" t="s">
        <v>40</v>
      </c>
      <c r="L121" s="109" t="s">
        <v>40</v>
      </c>
      <c r="N121" s="109" t="s">
        <v>40</v>
      </c>
    </row>
    <row r="122" spans="2:14" ht="76.5" customHeight="1">
      <c r="B122" s="109" t="s">
        <v>41</v>
      </c>
      <c r="D122" s="109" t="s">
        <v>41</v>
      </c>
      <c r="F122" s="109" t="s">
        <v>41</v>
      </c>
      <c r="H122" s="109" t="s">
        <v>41</v>
      </c>
      <c r="J122" s="109" t="s">
        <v>41</v>
      </c>
      <c r="L122" s="109" t="s">
        <v>41</v>
      </c>
      <c r="N122" s="109" t="s">
        <v>41</v>
      </c>
    </row>
    <row r="123" spans="2:14" ht="76.5" customHeight="1">
      <c r="B123" s="109" t="s">
        <v>42</v>
      </c>
      <c r="D123" s="109" t="s">
        <v>42</v>
      </c>
      <c r="F123" s="109" t="s">
        <v>42</v>
      </c>
      <c r="H123" s="109" t="s">
        <v>42</v>
      </c>
      <c r="J123" s="109" t="s">
        <v>42</v>
      </c>
      <c r="L123" s="109" t="s">
        <v>42</v>
      </c>
      <c r="N123" s="109" t="s">
        <v>42</v>
      </c>
    </row>
    <row r="124" spans="2:14" ht="76.5" customHeight="1">
      <c r="B124" s="109" t="s">
        <v>43</v>
      </c>
      <c r="D124" s="109" t="s">
        <v>43</v>
      </c>
      <c r="F124" s="109" t="s">
        <v>43</v>
      </c>
      <c r="H124" s="109" t="s">
        <v>43</v>
      </c>
      <c r="J124" s="109" t="s">
        <v>43</v>
      </c>
      <c r="L124" s="109" t="s">
        <v>43</v>
      </c>
      <c r="N124" s="109" t="s">
        <v>43</v>
      </c>
    </row>
    <row r="125" spans="2:14" ht="76.5" customHeight="1">
      <c r="B125" s="109" t="s">
        <v>44</v>
      </c>
      <c r="D125" s="109" t="s">
        <v>44</v>
      </c>
      <c r="F125" s="109" t="s">
        <v>44</v>
      </c>
      <c r="H125" s="109" t="s">
        <v>44</v>
      </c>
      <c r="J125" s="109" t="s">
        <v>44</v>
      </c>
      <c r="L125" s="109" t="s">
        <v>44</v>
      </c>
      <c r="N125" s="109" t="s">
        <v>44</v>
      </c>
    </row>
    <row r="126" spans="2:14" ht="25.5" customHeight="1"/>
    <row r="127" spans="2:14" ht="92.25" customHeight="1"/>
    <row r="128" spans="2:14" ht="76.5" customHeight="1">
      <c r="B128" s="127" t="s">
        <v>45</v>
      </c>
      <c r="D128" s="127" t="s">
        <v>45</v>
      </c>
      <c r="F128" s="127" t="s">
        <v>45</v>
      </c>
      <c r="H128" s="127" t="s">
        <v>45</v>
      </c>
      <c r="J128" s="127" t="s">
        <v>45</v>
      </c>
      <c r="L128" s="127" t="s">
        <v>45</v>
      </c>
      <c r="N128" s="127" t="s">
        <v>45</v>
      </c>
    </row>
    <row r="129" spans="2:14" ht="76.5" customHeight="1">
      <c r="B129" s="127" t="s">
        <v>46</v>
      </c>
      <c r="D129" s="127" t="s">
        <v>46</v>
      </c>
      <c r="F129" s="127" t="s">
        <v>46</v>
      </c>
      <c r="H129" s="127" t="s">
        <v>46</v>
      </c>
      <c r="J129" s="127" t="s">
        <v>46</v>
      </c>
      <c r="L129" s="127" t="s">
        <v>46</v>
      </c>
      <c r="N129" s="127" t="s">
        <v>46</v>
      </c>
    </row>
    <row r="130" spans="2:14" ht="76.5" customHeight="1">
      <c r="B130" s="127" t="s">
        <v>47</v>
      </c>
      <c r="D130" s="127" t="s">
        <v>47</v>
      </c>
      <c r="F130" s="127" t="s">
        <v>47</v>
      </c>
      <c r="H130" s="127" t="s">
        <v>47</v>
      </c>
      <c r="J130" s="127" t="s">
        <v>47</v>
      </c>
      <c r="L130" s="127" t="s">
        <v>47</v>
      </c>
      <c r="N130" s="127" t="s">
        <v>47</v>
      </c>
    </row>
    <row r="131" spans="2:14" ht="76.5" customHeight="1">
      <c r="B131" s="127" t="s">
        <v>48</v>
      </c>
      <c r="D131" s="127" t="s">
        <v>48</v>
      </c>
      <c r="F131" s="127" t="s">
        <v>48</v>
      </c>
      <c r="H131" s="127" t="s">
        <v>48</v>
      </c>
      <c r="J131" s="127" t="s">
        <v>48</v>
      </c>
      <c r="L131" s="127" t="s">
        <v>48</v>
      </c>
      <c r="N131" s="127" t="s">
        <v>48</v>
      </c>
    </row>
    <row r="132" spans="2:14" ht="76.5" customHeight="1">
      <c r="B132" s="127" t="s">
        <v>49</v>
      </c>
      <c r="D132" s="127" t="s">
        <v>49</v>
      </c>
      <c r="F132" s="127" t="s">
        <v>49</v>
      </c>
      <c r="H132" s="127" t="s">
        <v>49</v>
      </c>
      <c r="J132" s="127" t="s">
        <v>49</v>
      </c>
      <c r="L132" s="127" t="s">
        <v>49</v>
      </c>
      <c r="N132" s="127" t="s">
        <v>49</v>
      </c>
    </row>
    <row r="133" spans="2:14" ht="25.5" customHeight="1"/>
    <row r="134" spans="2:14" ht="92.25" customHeight="1">
      <c r="B134" s="133"/>
      <c r="D134" s="133"/>
      <c r="F134" s="133"/>
      <c r="H134" s="133"/>
      <c r="J134" s="133"/>
      <c r="L134" s="133"/>
      <c r="N134" s="133"/>
    </row>
    <row r="135" spans="2:14" ht="76.5" customHeight="1">
      <c r="B135" s="110" t="s">
        <v>45</v>
      </c>
      <c r="D135" s="110" t="s">
        <v>45</v>
      </c>
      <c r="F135" s="110" t="s">
        <v>45</v>
      </c>
      <c r="H135" s="110" t="s">
        <v>45</v>
      </c>
      <c r="J135" s="110" t="s">
        <v>45</v>
      </c>
      <c r="L135" s="110" t="s">
        <v>45</v>
      </c>
      <c r="N135" s="110" t="s">
        <v>45</v>
      </c>
    </row>
    <row r="136" spans="2:14" ht="76.5" customHeight="1">
      <c r="B136" s="110" t="s">
        <v>46</v>
      </c>
      <c r="D136" s="110" t="s">
        <v>46</v>
      </c>
      <c r="F136" s="110" t="s">
        <v>46</v>
      </c>
      <c r="H136" s="110" t="s">
        <v>46</v>
      </c>
      <c r="J136" s="110" t="s">
        <v>46</v>
      </c>
      <c r="L136" s="110" t="s">
        <v>46</v>
      </c>
      <c r="N136" s="110" t="s">
        <v>46</v>
      </c>
    </row>
    <row r="137" spans="2:14" ht="76.5" customHeight="1">
      <c r="B137" s="110" t="s">
        <v>47</v>
      </c>
      <c r="D137" s="110" t="s">
        <v>47</v>
      </c>
      <c r="F137" s="110" t="s">
        <v>47</v>
      </c>
      <c r="H137" s="110" t="s">
        <v>47</v>
      </c>
      <c r="J137" s="110" t="s">
        <v>47</v>
      </c>
      <c r="L137" s="110" t="s">
        <v>47</v>
      </c>
      <c r="N137" s="110" t="s">
        <v>47</v>
      </c>
    </row>
    <row r="138" spans="2:14" ht="76.5" customHeight="1">
      <c r="B138" s="110" t="s">
        <v>48</v>
      </c>
      <c r="D138" s="110" t="s">
        <v>48</v>
      </c>
      <c r="F138" s="110" t="s">
        <v>48</v>
      </c>
      <c r="H138" s="110" t="s">
        <v>48</v>
      </c>
      <c r="J138" s="110" t="s">
        <v>48</v>
      </c>
      <c r="L138" s="110" t="s">
        <v>48</v>
      </c>
      <c r="N138" s="110" t="s">
        <v>48</v>
      </c>
    </row>
    <row r="139" spans="2:14" ht="76.5" customHeight="1">
      <c r="B139" s="110" t="s">
        <v>49</v>
      </c>
      <c r="D139" s="110" t="s">
        <v>49</v>
      </c>
      <c r="F139" s="110" t="s">
        <v>49</v>
      </c>
      <c r="H139" s="110" t="s">
        <v>49</v>
      </c>
      <c r="J139" s="110" t="s">
        <v>49</v>
      </c>
      <c r="L139" s="110" t="s">
        <v>49</v>
      </c>
      <c r="N139" s="110" t="s">
        <v>49</v>
      </c>
    </row>
    <row r="140" spans="2:14" ht="25.5" customHeight="1"/>
    <row r="141" spans="2:14" ht="92.25" customHeight="1"/>
    <row r="142" spans="2:14" ht="76.5" customHeight="1">
      <c r="B142" s="128" t="s">
        <v>50</v>
      </c>
      <c r="D142" s="128" t="s">
        <v>50</v>
      </c>
      <c r="F142" s="128" t="s">
        <v>50</v>
      </c>
      <c r="H142" s="128" t="s">
        <v>50</v>
      </c>
      <c r="J142" s="128" t="s">
        <v>50</v>
      </c>
      <c r="L142" s="128" t="s">
        <v>50</v>
      </c>
      <c r="N142" s="128" t="s">
        <v>50</v>
      </c>
    </row>
    <row r="143" spans="2:14" ht="76.5" customHeight="1">
      <c r="B143" s="128" t="s">
        <v>51</v>
      </c>
      <c r="D143" s="128" t="s">
        <v>51</v>
      </c>
      <c r="F143" s="128" t="s">
        <v>51</v>
      </c>
      <c r="H143" s="128" t="s">
        <v>51</v>
      </c>
      <c r="J143" s="128" t="s">
        <v>51</v>
      </c>
      <c r="L143" s="128" t="s">
        <v>51</v>
      </c>
      <c r="N143" s="128" t="s">
        <v>51</v>
      </c>
    </row>
    <row r="144" spans="2:14" ht="76.5" customHeight="1">
      <c r="B144" s="128" t="s">
        <v>52</v>
      </c>
      <c r="D144" s="128" t="s">
        <v>52</v>
      </c>
      <c r="F144" s="128" t="s">
        <v>52</v>
      </c>
      <c r="H144" s="128" t="s">
        <v>52</v>
      </c>
      <c r="J144" s="128" t="s">
        <v>52</v>
      </c>
      <c r="L144" s="128" t="s">
        <v>52</v>
      </c>
      <c r="N144" s="128" t="s">
        <v>52</v>
      </c>
    </row>
    <row r="145" spans="2:14" ht="76.5" customHeight="1">
      <c r="B145" s="128" t="s">
        <v>53</v>
      </c>
      <c r="D145" s="128" t="s">
        <v>53</v>
      </c>
      <c r="F145" s="128" t="s">
        <v>53</v>
      </c>
      <c r="H145" s="128" t="s">
        <v>53</v>
      </c>
      <c r="J145" s="128" t="s">
        <v>53</v>
      </c>
      <c r="L145" s="128" t="s">
        <v>53</v>
      </c>
      <c r="N145" s="128" t="s">
        <v>53</v>
      </c>
    </row>
    <row r="146" spans="2:14" ht="76.5" customHeight="1">
      <c r="B146" s="128" t="s">
        <v>54</v>
      </c>
      <c r="D146" s="128" t="s">
        <v>54</v>
      </c>
      <c r="F146" s="128" t="s">
        <v>54</v>
      </c>
      <c r="H146" s="128" t="s">
        <v>54</v>
      </c>
      <c r="J146" s="128" t="s">
        <v>54</v>
      </c>
      <c r="L146" s="128" t="s">
        <v>54</v>
      </c>
      <c r="N146" s="128" t="s">
        <v>54</v>
      </c>
    </row>
    <row r="147" spans="2:14" ht="25.5" customHeight="1"/>
    <row r="148" spans="2:14" ht="92.25" customHeight="1">
      <c r="B148" s="135"/>
      <c r="D148" s="135"/>
      <c r="F148" s="135"/>
      <c r="H148" s="135"/>
      <c r="J148" s="135"/>
      <c r="L148" s="135"/>
      <c r="N148" s="135"/>
    </row>
    <row r="149" spans="2:14" ht="76.5" customHeight="1">
      <c r="B149" s="111" t="s">
        <v>50</v>
      </c>
      <c r="D149" s="111" t="s">
        <v>50</v>
      </c>
      <c r="F149" s="111" t="s">
        <v>50</v>
      </c>
      <c r="H149" s="111" t="s">
        <v>50</v>
      </c>
      <c r="J149" s="111" t="s">
        <v>50</v>
      </c>
      <c r="L149" s="111" t="s">
        <v>50</v>
      </c>
      <c r="N149" s="111" t="s">
        <v>50</v>
      </c>
    </row>
    <row r="150" spans="2:14" ht="76.5" customHeight="1">
      <c r="B150" s="111" t="s">
        <v>51</v>
      </c>
      <c r="D150" s="111" t="s">
        <v>51</v>
      </c>
      <c r="F150" s="111" t="s">
        <v>51</v>
      </c>
      <c r="H150" s="111" t="s">
        <v>51</v>
      </c>
      <c r="J150" s="111" t="s">
        <v>51</v>
      </c>
      <c r="L150" s="111" t="s">
        <v>51</v>
      </c>
      <c r="N150" s="111" t="s">
        <v>51</v>
      </c>
    </row>
    <row r="151" spans="2:14" ht="76.5" customHeight="1">
      <c r="B151" s="111" t="s">
        <v>52</v>
      </c>
      <c r="D151" s="111" t="s">
        <v>52</v>
      </c>
      <c r="F151" s="111" t="s">
        <v>52</v>
      </c>
      <c r="H151" s="111" t="s">
        <v>52</v>
      </c>
      <c r="J151" s="111" t="s">
        <v>52</v>
      </c>
      <c r="L151" s="111" t="s">
        <v>52</v>
      </c>
      <c r="N151" s="111" t="s">
        <v>52</v>
      </c>
    </row>
    <row r="152" spans="2:14" ht="76.5" customHeight="1">
      <c r="B152" s="111" t="s">
        <v>53</v>
      </c>
      <c r="D152" s="111" t="s">
        <v>53</v>
      </c>
      <c r="F152" s="111" t="s">
        <v>53</v>
      </c>
      <c r="H152" s="111" t="s">
        <v>53</v>
      </c>
      <c r="J152" s="111" t="s">
        <v>53</v>
      </c>
      <c r="L152" s="111" t="s">
        <v>53</v>
      </c>
      <c r="N152" s="111" t="s">
        <v>53</v>
      </c>
    </row>
    <row r="153" spans="2:14" ht="76.5" customHeight="1">
      <c r="B153" s="111" t="s">
        <v>54</v>
      </c>
      <c r="D153" s="111" t="s">
        <v>54</v>
      </c>
      <c r="F153" s="111" t="s">
        <v>54</v>
      </c>
      <c r="H153" s="111" t="s">
        <v>54</v>
      </c>
      <c r="J153" s="111" t="s">
        <v>54</v>
      </c>
      <c r="L153" s="111" t="s">
        <v>54</v>
      </c>
      <c r="N153" s="111" t="s">
        <v>54</v>
      </c>
    </row>
    <row r="154" spans="2:14" ht="25.5" customHeight="1"/>
    <row r="155" spans="2:14" ht="92.25" customHeight="1"/>
    <row r="156" spans="2:14" ht="76.5" customHeight="1">
      <c r="B156" s="142" t="s">
        <v>55</v>
      </c>
      <c r="D156" s="142" t="s">
        <v>55</v>
      </c>
      <c r="F156" s="142" t="s">
        <v>55</v>
      </c>
      <c r="H156" s="142" t="s">
        <v>55</v>
      </c>
      <c r="J156" s="142" t="s">
        <v>55</v>
      </c>
      <c r="L156" s="142" t="s">
        <v>55</v>
      </c>
      <c r="N156" s="142" t="s">
        <v>55</v>
      </c>
    </row>
    <row r="157" spans="2:14" ht="76.5" customHeight="1">
      <c r="B157" s="142" t="s">
        <v>56</v>
      </c>
      <c r="D157" s="142" t="s">
        <v>56</v>
      </c>
      <c r="F157" s="142" t="s">
        <v>56</v>
      </c>
      <c r="H157" s="142" t="s">
        <v>56</v>
      </c>
      <c r="J157" s="142" t="s">
        <v>56</v>
      </c>
      <c r="L157" s="142" t="s">
        <v>56</v>
      </c>
      <c r="N157" s="142" t="s">
        <v>56</v>
      </c>
    </row>
    <row r="158" spans="2:14" ht="76.5" customHeight="1">
      <c r="B158" s="142" t="s">
        <v>57</v>
      </c>
      <c r="D158" s="142" t="s">
        <v>57</v>
      </c>
      <c r="F158" s="142" t="s">
        <v>57</v>
      </c>
      <c r="H158" s="142" t="s">
        <v>57</v>
      </c>
      <c r="J158" s="142" t="s">
        <v>57</v>
      </c>
      <c r="L158" s="142" t="s">
        <v>57</v>
      </c>
      <c r="N158" s="142" t="s">
        <v>57</v>
      </c>
    </row>
    <row r="159" spans="2:14" ht="76.5" customHeight="1">
      <c r="B159" s="142" t="s">
        <v>58</v>
      </c>
      <c r="D159" s="142" t="s">
        <v>58</v>
      </c>
      <c r="F159" s="142" t="s">
        <v>58</v>
      </c>
      <c r="H159" s="142" t="s">
        <v>58</v>
      </c>
      <c r="J159" s="142" t="s">
        <v>58</v>
      </c>
      <c r="L159" s="142" t="s">
        <v>58</v>
      </c>
      <c r="N159" s="142" t="s">
        <v>58</v>
      </c>
    </row>
    <row r="160" spans="2:14" ht="76.5" customHeight="1">
      <c r="B160" s="142" t="s">
        <v>59</v>
      </c>
      <c r="D160" s="142" t="s">
        <v>59</v>
      </c>
      <c r="F160" s="142" t="s">
        <v>59</v>
      </c>
      <c r="H160" s="142" t="s">
        <v>59</v>
      </c>
      <c r="J160" s="142" t="s">
        <v>59</v>
      </c>
      <c r="L160" s="142" t="s">
        <v>59</v>
      </c>
      <c r="N160" s="142" t="s">
        <v>59</v>
      </c>
    </row>
    <row r="161" spans="2:14" ht="25.5" customHeight="1"/>
    <row r="162" spans="2:14" ht="92.25" customHeight="1">
      <c r="B162" s="133"/>
      <c r="D162" s="133"/>
      <c r="F162" s="133"/>
      <c r="H162" s="133"/>
      <c r="J162" s="133"/>
      <c r="L162" s="133"/>
      <c r="N162" s="133"/>
    </row>
    <row r="163" spans="2:14" ht="76.5" customHeight="1">
      <c r="B163" s="141" t="s">
        <v>55</v>
      </c>
      <c r="D163" s="141" t="s">
        <v>55</v>
      </c>
      <c r="F163" s="141" t="s">
        <v>55</v>
      </c>
      <c r="H163" s="141" t="s">
        <v>55</v>
      </c>
      <c r="J163" s="141" t="s">
        <v>55</v>
      </c>
      <c r="L163" s="141" t="s">
        <v>55</v>
      </c>
      <c r="N163" s="141" t="s">
        <v>55</v>
      </c>
    </row>
    <row r="164" spans="2:14" ht="76.5" customHeight="1">
      <c r="B164" s="141" t="s">
        <v>56</v>
      </c>
      <c r="D164" s="141" t="s">
        <v>56</v>
      </c>
      <c r="F164" s="141" t="s">
        <v>56</v>
      </c>
      <c r="H164" s="141" t="s">
        <v>56</v>
      </c>
      <c r="J164" s="141" t="s">
        <v>56</v>
      </c>
      <c r="L164" s="141" t="s">
        <v>56</v>
      </c>
      <c r="N164" s="141" t="s">
        <v>56</v>
      </c>
    </row>
    <row r="165" spans="2:14" ht="76.5" customHeight="1">
      <c r="B165" s="141" t="s">
        <v>57</v>
      </c>
      <c r="D165" s="141" t="s">
        <v>57</v>
      </c>
      <c r="F165" s="141" t="s">
        <v>57</v>
      </c>
      <c r="H165" s="141" t="s">
        <v>57</v>
      </c>
      <c r="J165" s="141" t="s">
        <v>57</v>
      </c>
      <c r="L165" s="141" t="s">
        <v>57</v>
      </c>
      <c r="N165" s="141" t="s">
        <v>57</v>
      </c>
    </row>
    <row r="166" spans="2:14" ht="76.5" customHeight="1">
      <c r="B166" s="141" t="s">
        <v>58</v>
      </c>
      <c r="D166" s="141" t="s">
        <v>58</v>
      </c>
      <c r="F166" s="141" t="s">
        <v>58</v>
      </c>
      <c r="H166" s="141" t="s">
        <v>58</v>
      </c>
      <c r="J166" s="141" t="s">
        <v>58</v>
      </c>
      <c r="L166" s="141" t="s">
        <v>58</v>
      </c>
      <c r="N166" s="141" t="s">
        <v>58</v>
      </c>
    </row>
    <row r="167" spans="2:14" ht="76.5" customHeight="1">
      <c r="B167" s="141" t="s">
        <v>59</v>
      </c>
      <c r="D167" s="141" t="s">
        <v>59</v>
      </c>
      <c r="F167" s="141" t="s">
        <v>59</v>
      </c>
      <c r="H167" s="141" t="s">
        <v>59</v>
      </c>
      <c r="J167" s="141" t="s">
        <v>59</v>
      </c>
      <c r="L167" s="141" t="s">
        <v>59</v>
      </c>
      <c r="N167" s="141" t="s">
        <v>59</v>
      </c>
    </row>
    <row r="168" spans="2:14" ht="25.5" customHeight="1"/>
    <row r="169" spans="2:14" ht="92.25" customHeight="1"/>
    <row r="170" spans="2:14" ht="76.5" customHeight="1">
      <c r="B170" s="140" t="s">
        <v>60</v>
      </c>
      <c r="D170" s="140" t="s">
        <v>60</v>
      </c>
      <c r="F170" s="140" t="s">
        <v>60</v>
      </c>
      <c r="H170" s="140" t="s">
        <v>60</v>
      </c>
      <c r="J170" s="140" t="s">
        <v>60</v>
      </c>
      <c r="L170" s="140" t="s">
        <v>60</v>
      </c>
      <c r="N170" s="140" t="s">
        <v>60</v>
      </c>
    </row>
    <row r="171" spans="2:14" ht="76.5" customHeight="1">
      <c r="B171" s="140" t="s">
        <v>61</v>
      </c>
      <c r="D171" s="140" t="s">
        <v>61</v>
      </c>
      <c r="F171" s="140" t="s">
        <v>61</v>
      </c>
      <c r="H171" s="140" t="s">
        <v>61</v>
      </c>
      <c r="J171" s="140" t="s">
        <v>61</v>
      </c>
      <c r="L171" s="140" t="s">
        <v>61</v>
      </c>
      <c r="N171" s="140" t="s">
        <v>61</v>
      </c>
    </row>
    <row r="172" spans="2:14" ht="76.5" customHeight="1">
      <c r="B172" s="140" t="s">
        <v>62</v>
      </c>
      <c r="D172" s="140" t="s">
        <v>62</v>
      </c>
      <c r="F172" s="140" t="s">
        <v>62</v>
      </c>
      <c r="H172" s="140" t="s">
        <v>62</v>
      </c>
      <c r="J172" s="140" t="s">
        <v>62</v>
      </c>
      <c r="L172" s="140" t="s">
        <v>62</v>
      </c>
      <c r="N172" s="140" t="s">
        <v>62</v>
      </c>
    </row>
    <row r="173" spans="2:14" ht="76.5" customHeight="1">
      <c r="B173" s="140" t="s">
        <v>63</v>
      </c>
      <c r="D173" s="140" t="s">
        <v>63</v>
      </c>
      <c r="F173" s="140" t="s">
        <v>63</v>
      </c>
      <c r="H173" s="140" t="s">
        <v>63</v>
      </c>
      <c r="J173" s="140" t="s">
        <v>63</v>
      </c>
      <c r="L173" s="140" t="s">
        <v>63</v>
      </c>
      <c r="N173" s="140" t="s">
        <v>63</v>
      </c>
    </row>
    <row r="174" spans="2:14" ht="76.5" customHeight="1">
      <c r="B174" s="140" t="s">
        <v>64</v>
      </c>
      <c r="D174" s="140" t="s">
        <v>64</v>
      </c>
      <c r="F174" s="140" t="s">
        <v>64</v>
      </c>
      <c r="H174" s="140" t="s">
        <v>64</v>
      </c>
      <c r="J174" s="140" t="s">
        <v>64</v>
      </c>
      <c r="L174" s="140" t="s">
        <v>64</v>
      </c>
      <c r="N174" s="140" t="s">
        <v>64</v>
      </c>
    </row>
    <row r="175" spans="2:14" ht="25.5" customHeight="1"/>
    <row r="176" spans="2:14" ht="92.25" customHeight="1">
      <c r="B176" s="135"/>
      <c r="D176" s="135"/>
      <c r="F176" s="135"/>
      <c r="H176" s="135"/>
      <c r="J176" s="135"/>
      <c r="L176" s="135"/>
      <c r="N176" s="135"/>
    </row>
    <row r="177" spans="2:14" ht="76.5" customHeight="1">
      <c r="B177" s="139" t="s">
        <v>60</v>
      </c>
      <c r="D177" s="139" t="s">
        <v>60</v>
      </c>
      <c r="F177" s="139" t="s">
        <v>60</v>
      </c>
      <c r="H177" s="139" t="s">
        <v>60</v>
      </c>
      <c r="J177" s="139" t="s">
        <v>60</v>
      </c>
      <c r="L177" s="139" t="s">
        <v>60</v>
      </c>
      <c r="N177" s="139" t="s">
        <v>60</v>
      </c>
    </row>
    <row r="178" spans="2:14" ht="76.5" customHeight="1">
      <c r="B178" s="139" t="s">
        <v>61</v>
      </c>
      <c r="D178" s="139" t="s">
        <v>61</v>
      </c>
      <c r="F178" s="139" t="s">
        <v>61</v>
      </c>
      <c r="H178" s="139" t="s">
        <v>61</v>
      </c>
      <c r="J178" s="139" t="s">
        <v>61</v>
      </c>
      <c r="L178" s="139" t="s">
        <v>61</v>
      </c>
      <c r="N178" s="139" t="s">
        <v>61</v>
      </c>
    </row>
    <row r="179" spans="2:14" ht="76.5" customHeight="1">
      <c r="B179" s="139" t="s">
        <v>62</v>
      </c>
      <c r="D179" s="139" t="s">
        <v>62</v>
      </c>
      <c r="F179" s="139" t="s">
        <v>62</v>
      </c>
      <c r="H179" s="139" t="s">
        <v>62</v>
      </c>
      <c r="J179" s="139" t="s">
        <v>62</v>
      </c>
      <c r="L179" s="139" t="s">
        <v>62</v>
      </c>
      <c r="N179" s="139" t="s">
        <v>62</v>
      </c>
    </row>
    <row r="180" spans="2:14" ht="76.5" customHeight="1">
      <c r="B180" s="139" t="s">
        <v>63</v>
      </c>
      <c r="D180" s="139" t="s">
        <v>63</v>
      </c>
      <c r="F180" s="139" t="s">
        <v>63</v>
      </c>
      <c r="H180" s="139" t="s">
        <v>63</v>
      </c>
      <c r="J180" s="139" t="s">
        <v>63</v>
      </c>
      <c r="L180" s="139" t="s">
        <v>63</v>
      </c>
      <c r="N180" s="139" t="s">
        <v>63</v>
      </c>
    </row>
    <row r="181" spans="2:14" ht="76.5" customHeight="1">
      <c r="B181" s="139" t="s">
        <v>64</v>
      </c>
      <c r="D181" s="139" t="s">
        <v>64</v>
      </c>
      <c r="F181" s="139" t="s">
        <v>64</v>
      </c>
      <c r="H181" s="139" t="s">
        <v>64</v>
      </c>
      <c r="J181" s="139" t="s">
        <v>64</v>
      </c>
      <c r="L181" s="139" t="s">
        <v>64</v>
      </c>
      <c r="N181" s="139" t="s">
        <v>64</v>
      </c>
    </row>
    <row r="182" spans="2:14" ht="25.5" customHeight="1">
      <c r="B182" s="135"/>
      <c r="D182" s="135"/>
      <c r="F182" s="135"/>
      <c r="H182" s="135"/>
      <c r="J182" s="135"/>
      <c r="L182" s="135"/>
      <c r="N182" s="135"/>
    </row>
    <row r="183" spans="2:14" ht="92.25" customHeight="1"/>
    <row r="184" spans="2:14" ht="76.5" customHeight="1">
      <c r="B184" s="130" t="s">
        <v>65</v>
      </c>
      <c r="D184" s="130" t="s">
        <v>65</v>
      </c>
      <c r="F184" s="130" t="s">
        <v>65</v>
      </c>
      <c r="H184" s="130" t="s">
        <v>65</v>
      </c>
      <c r="J184" s="130" t="s">
        <v>65</v>
      </c>
      <c r="L184" s="130" t="s">
        <v>65</v>
      </c>
      <c r="N184" s="130" t="s">
        <v>65</v>
      </c>
    </row>
    <row r="185" spans="2:14" ht="76.5" customHeight="1">
      <c r="B185" s="130" t="s">
        <v>66</v>
      </c>
      <c r="D185" s="130" t="s">
        <v>66</v>
      </c>
      <c r="F185" s="130" t="s">
        <v>66</v>
      </c>
      <c r="H185" s="130" t="s">
        <v>66</v>
      </c>
      <c r="J185" s="130" t="s">
        <v>66</v>
      </c>
      <c r="L185" s="130" t="s">
        <v>66</v>
      </c>
      <c r="N185" s="130" t="s">
        <v>66</v>
      </c>
    </row>
    <row r="186" spans="2:14" ht="76.5" customHeight="1">
      <c r="B186" s="130" t="s">
        <v>67</v>
      </c>
      <c r="D186" s="130" t="s">
        <v>67</v>
      </c>
      <c r="F186" s="130" t="s">
        <v>67</v>
      </c>
      <c r="H186" s="130" t="s">
        <v>67</v>
      </c>
      <c r="J186" s="130" t="s">
        <v>67</v>
      </c>
      <c r="L186" s="130" t="s">
        <v>67</v>
      </c>
      <c r="N186" s="130" t="s">
        <v>67</v>
      </c>
    </row>
    <row r="187" spans="2:14" ht="76.5" customHeight="1">
      <c r="B187" s="130" t="s">
        <v>68</v>
      </c>
      <c r="D187" s="130" t="s">
        <v>68</v>
      </c>
      <c r="F187" s="130" t="s">
        <v>68</v>
      </c>
      <c r="H187" s="130" t="s">
        <v>68</v>
      </c>
      <c r="J187" s="130" t="s">
        <v>68</v>
      </c>
      <c r="L187" s="130" t="s">
        <v>68</v>
      </c>
      <c r="N187" s="130" t="s">
        <v>68</v>
      </c>
    </row>
    <row r="188" spans="2:14" ht="76.5" customHeight="1">
      <c r="B188" s="130" t="s">
        <v>69</v>
      </c>
      <c r="D188" s="130" t="s">
        <v>69</v>
      </c>
      <c r="F188" s="130" t="s">
        <v>69</v>
      </c>
      <c r="H188" s="130" t="s">
        <v>69</v>
      </c>
      <c r="J188" s="130" t="s">
        <v>69</v>
      </c>
      <c r="L188" s="130" t="s">
        <v>69</v>
      </c>
      <c r="N188" s="130" t="s">
        <v>69</v>
      </c>
    </row>
    <row r="189" spans="2:14" ht="25.5" customHeight="1">
      <c r="B189" s="135"/>
      <c r="D189" s="135"/>
      <c r="F189" s="135"/>
      <c r="H189" s="135"/>
      <c r="J189" s="135"/>
      <c r="L189" s="135"/>
      <c r="N189" s="135"/>
    </row>
    <row r="190" spans="2:14" ht="92.25" customHeight="1">
      <c r="B190" s="133"/>
      <c r="D190" s="133"/>
      <c r="F190" s="133"/>
      <c r="H190" s="133"/>
      <c r="J190" s="133"/>
      <c r="L190" s="133"/>
      <c r="N190" s="133"/>
    </row>
    <row r="191" spans="2:14" ht="76.5" customHeight="1">
      <c r="B191" s="112" t="s">
        <v>65</v>
      </c>
      <c r="D191" s="112" t="s">
        <v>65</v>
      </c>
      <c r="F191" s="112" t="s">
        <v>65</v>
      </c>
      <c r="H191" s="112" t="s">
        <v>65</v>
      </c>
      <c r="J191" s="112" t="s">
        <v>65</v>
      </c>
      <c r="L191" s="112" t="s">
        <v>65</v>
      </c>
      <c r="N191" s="112" t="s">
        <v>65</v>
      </c>
    </row>
    <row r="192" spans="2:14" ht="76.5" customHeight="1">
      <c r="B192" s="112" t="s">
        <v>66</v>
      </c>
      <c r="D192" s="112" t="s">
        <v>66</v>
      </c>
      <c r="F192" s="112" t="s">
        <v>66</v>
      </c>
      <c r="H192" s="112" t="s">
        <v>66</v>
      </c>
      <c r="J192" s="112" t="s">
        <v>66</v>
      </c>
      <c r="L192" s="112" t="s">
        <v>66</v>
      </c>
      <c r="N192" s="112" t="s">
        <v>66</v>
      </c>
    </row>
    <row r="193" spans="2:14" ht="76.5" customHeight="1">
      <c r="B193" s="112" t="s">
        <v>67</v>
      </c>
      <c r="D193" s="112" t="s">
        <v>67</v>
      </c>
      <c r="F193" s="112" t="s">
        <v>67</v>
      </c>
      <c r="H193" s="112" t="s">
        <v>67</v>
      </c>
      <c r="J193" s="112" t="s">
        <v>67</v>
      </c>
      <c r="L193" s="112" t="s">
        <v>67</v>
      </c>
      <c r="N193" s="112" t="s">
        <v>67</v>
      </c>
    </row>
    <row r="194" spans="2:14" ht="76.5" customHeight="1">
      <c r="B194" s="112" t="s">
        <v>68</v>
      </c>
      <c r="D194" s="112" t="s">
        <v>68</v>
      </c>
      <c r="F194" s="112" t="s">
        <v>68</v>
      </c>
      <c r="H194" s="112" t="s">
        <v>68</v>
      </c>
      <c r="J194" s="112" t="s">
        <v>68</v>
      </c>
      <c r="L194" s="112" t="s">
        <v>68</v>
      </c>
      <c r="N194" s="112" t="s">
        <v>68</v>
      </c>
    </row>
    <row r="195" spans="2:14" ht="76.5" customHeight="1">
      <c r="B195" s="112" t="s">
        <v>69</v>
      </c>
      <c r="D195" s="112" t="s">
        <v>69</v>
      </c>
      <c r="F195" s="112" t="s">
        <v>69</v>
      </c>
      <c r="H195" s="112" t="s">
        <v>69</v>
      </c>
      <c r="J195" s="112" t="s">
        <v>69</v>
      </c>
      <c r="L195" s="112" t="s">
        <v>69</v>
      </c>
      <c r="N195" s="112" t="s">
        <v>69</v>
      </c>
    </row>
    <row r="196" spans="2:14" ht="14.25" customHeight="1"/>
  </sheetData>
  <printOptions horizontalCentered="1" verticalCentered="1"/>
  <pageMargins left="0.23622047244094491" right="0.23622047244094491" top="0.35433070866141736" bottom="0.74803149606299213" header="0.31496062992125984" footer="0.31496062992125984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14"/>
  <sheetViews>
    <sheetView topLeftCell="A4" workbookViewId="0">
      <selection activeCell="I21" sqref="I21"/>
    </sheetView>
  </sheetViews>
  <sheetFormatPr defaultRowHeight="13.2"/>
  <cols>
    <col min="1" max="1" width="15.109375" style="4" customWidth="1"/>
    <col min="2" max="2" width="6" style="101" customWidth="1"/>
    <col min="3" max="3" width="16.109375" style="98" customWidth="1"/>
    <col min="4" max="4" width="6" style="101" customWidth="1"/>
    <col min="5" max="5" width="15.109375" style="99" customWidth="1"/>
    <col min="6" max="6" width="6" style="101" customWidth="1"/>
    <col min="7" max="7" width="16.109375" style="99" customWidth="1"/>
    <col min="8" max="8" width="6" style="101" customWidth="1"/>
    <col min="9" max="9" width="15.109375" style="100" customWidth="1"/>
    <col min="10" max="10" width="6" style="100" customWidth="1"/>
    <col min="11" max="11" width="11.6640625" style="4" customWidth="1"/>
    <col min="12" max="12" width="15.109375" style="4" customWidth="1"/>
    <col min="13" max="13" width="6" style="101" customWidth="1"/>
    <col min="14" max="14" width="16.109375" style="98" customWidth="1"/>
    <col min="15" max="15" width="6" style="101" customWidth="1"/>
    <col min="16" max="16" width="15.109375" style="99" customWidth="1"/>
    <col min="17" max="17" width="6" style="101" customWidth="1"/>
    <col min="18" max="18" width="16.109375" style="99" customWidth="1"/>
    <col min="19" max="19" width="6" style="101" customWidth="1"/>
    <col min="20" max="20" width="15.109375" style="100" customWidth="1"/>
    <col min="21" max="21" width="6" style="101" customWidth="1"/>
  </cols>
  <sheetData>
    <row r="1" spans="1:31" s="41" customFormat="1" ht="39.75" customHeight="1">
      <c r="A1" s="56" t="s">
        <v>70</v>
      </c>
      <c r="B1" s="57"/>
      <c r="C1" s="42" t="s">
        <v>71</v>
      </c>
      <c r="D1" s="57"/>
      <c r="E1" s="56" t="s">
        <v>72</v>
      </c>
      <c r="F1" s="57"/>
      <c r="G1" s="56" t="s">
        <v>73</v>
      </c>
      <c r="H1" s="57"/>
      <c r="I1" s="84" t="s">
        <v>74</v>
      </c>
      <c r="J1" s="84"/>
      <c r="K1" s="138"/>
      <c r="L1" s="84" t="s">
        <v>70</v>
      </c>
      <c r="M1" s="57"/>
      <c r="N1" s="42" t="s">
        <v>71</v>
      </c>
      <c r="O1" s="57"/>
      <c r="P1" s="56" t="s">
        <v>72</v>
      </c>
      <c r="Q1" s="57"/>
      <c r="R1" s="56" t="s">
        <v>73</v>
      </c>
      <c r="S1" s="57"/>
      <c r="T1" s="84" t="s">
        <v>74</v>
      </c>
      <c r="U1" s="57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s="41" customFormat="1" ht="39.75" customHeight="1">
      <c r="A2" s="58" t="s">
        <v>75</v>
      </c>
      <c r="B2" s="59"/>
      <c r="C2" s="43" t="s">
        <v>76</v>
      </c>
      <c r="D2" s="59"/>
      <c r="E2" s="58" t="s">
        <v>77</v>
      </c>
      <c r="F2" s="59"/>
      <c r="G2" s="58" t="s">
        <v>78</v>
      </c>
      <c r="H2" s="59"/>
      <c r="I2" s="85" t="s">
        <v>79</v>
      </c>
      <c r="J2" s="85"/>
      <c r="K2" s="138"/>
      <c r="L2" s="85" t="s">
        <v>75</v>
      </c>
      <c r="M2" s="59"/>
      <c r="N2" s="43" t="s">
        <v>76</v>
      </c>
      <c r="O2" s="59"/>
      <c r="P2" s="58" t="s">
        <v>77</v>
      </c>
      <c r="Q2" s="59"/>
      <c r="R2" s="58" t="s">
        <v>78</v>
      </c>
      <c r="S2" s="59"/>
      <c r="T2" s="85" t="s">
        <v>79</v>
      </c>
      <c r="U2" s="59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s="41" customFormat="1" ht="39.75" customHeight="1">
      <c r="A3" s="60" t="s">
        <v>80</v>
      </c>
      <c r="B3" s="61"/>
      <c r="C3" s="44" t="s">
        <v>81</v>
      </c>
      <c r="D3" s="61"/>
      <c r="E3" s="60" t="s">
        <v>82</v>
      </c>
      <c r="F3" s="61"/>
      <c r="G3" s="60" t="s">
        <v>83</v>
      </c>
      <c r="H3" s="61"/>
      <c r="I3" s="86" t="s">
        <v>84</v>
      </c>
      <c r="J3" s="86"/>
      <c r="K3" s="138"/>
      <c r="L3" s="86" t="s">
        <v>80</v>
      </c>
      <c r="M3" s="61"/>
      <c r="N3" s="44" t="s">
        <v>81</v>
      </c>
      <c r="O3" s="61"/>
      <c r="P3" s="60" t="s">
        <v>82</v>
      </c>
      <c r="Q3" s="61"/>
      <c r="R3" s="60" t="s">
        <v>83</v>
      </c>
      <c r="S3" s="61"/>
      <c r="T3" s="86" t="s">
        <v>84</v>
      </c>
      <c r="U3" s="61"/>
      <c r="V3" s="4"/>
      <c r="W3" s="4">
        <v>128</v>
      </c>
      <c r="X3" s="4" t="s">
        <v>97</v>
      </c>
      <c r="Y3" s="4"/>
      <c r="Z3" s="4"/>
      <c r="AA3" s="4">
        <f>W3*8</f>
        <v>1024</v>
      </c>
      <c r="AB3" s="4"/>
      <c r="AC3" s="4"/>
      <c r="AD3" s="4"/>
      <c r="AE3" s="4"/>
    </row>
    <row r="4" spans="1:31" s="41" customFormat="1" ht="39.75" customHeight="1">
      <c r="A4" s="62" t="s">
        <v>85</v>
      </c>
      <c r="B4" s="63"/>
      <c r="C4" s="45" t="s">
        <v>86</v>
      </c>
      <c r="D4" s="63"/>
      <c r="E4" s="62" t="s">
        <v>87</v>
      </c>
      <c r="F4" s="63"/>
      <c r="G4" s="62" t="s">
        <v>88</v>
      </c>
      <c r="H4" s="63"/>
      <c r="I4" s="87" t="s">
        <v>89</v>
      </c>
      <c r="J4" s="87"/>
      <c r="K4" s="138"/>
      <c r="L4" s="87" t="s">
        <v>85</v>
      </c>
      <c r="M4" s="63"/>
      <c r="N4" s="45" t="s">
        <v>86</v>
      </c>
      <c r="O4" s="63"/>
      <c r="P4" s="62" t="s">
        <v>87</v>
      </c>
      <c r="Q4" s="63"/>
      <c r="R4" s="62" t="s">
        <v>88</v>
      </c>
      <c r="S4" s="63"/>
      <c r="T4" s="87" t="s">
        <v>89</v>
      </c>
      <c r="U4" s="63"/>
      <c r="V4" s="4"/>
      <c r="W4" s="4">
        <v>50</v>
      </c>
      <c r="X4" s="4" t="s">
        <v>98</v>
      </c>
      <c r="Y4" s="4"/>
      <c r="Z4" s="4"/>
      <c r="AA4" s="4">
        <f>W4*2</f>
        <v>100</v>
      </c>
      <c r="AB4" s="4"/>
      <c r="AC4" s="4"/>
      <c r="AD4" s="4"/>
      <c r="AE4" s="4"/>
    </row>
    <row r="5" spans="1:31" s="41" customFormat="1" ht="39.75" customHeight="1">
      <c r="A5" s="64" t="s">
        <v>90</v>
      </c>
      <c r="B5" s="65"/>
      <c r="C5" s="46" t="s">
        <v>91</v>
      </c>
      <c r="D5" s="65"/>
      <c r="E5" s="64" t="s">
        <v>92</v>
      </c>
      <c r="F5" s="65"/>
      <c r="G5" s="64" t="s">
        <v>93</v>
      </c>
      <c r="H5" s="65"/>
      <c r="I5" s="88" t="s">
        <v>94</v>
      </c>
      <c r="J5" s="88"/>
      <c r="K5" s="138"/>
      <c r="L5" s="88" t="s">
        <v>90</v>
      </c>
      <c r="M5" s="65"/>
      <c r="N5" s="46" t="s">
        <v>91</v>
      </c>
      <c r="O5" s="65"/>
      <c r="P5" s="64" t="s">
        <v>92</v>
      </c>
      <c r="Q5" s="65"/>
      <c r="R5" s="64" t="s">
        <v>93</v>
      </c>
      <c r="S5" s="65"/>
      <c r="T5" s="88" t="s">
        <v>94</v>
      </c>
      <c r="U5" s="65"/>
      <c r="V5" s="4"/>
      <c r="W5" s="4"/>
      <c r="X5" s="4"/>
      <c r="Y5" s="4"/>
      <c r="Z5" s="4"/>
      <c r="AA5" s="4">
        <v>1124</v>
      </c>
      <c r="AB5" s="4"/>
      <c r="AC5" s="4"/>
      <c r="AD5" s="4"/>
      <c r="AE5" s="4"/>
    </row>
    <row r="6" spans="1:31" s="41" customFormat="1" ht="39.75" customHeight="1">
      <c r="A6" s="66" t="s">
        <v>95</v>
      </c>
      <c r="B6" s="67"/>
      <c r="C6" s="47" t="s">
        <v>26</v>
      </c>
      <c r="D6" s="67"/>
      <c r="E6" s="66" t="s">
        <v>27</v>
      </c>
      <c r="F6" s="67"/>
      <c r="G6" s="66" t="s">
        <v>28</v>
      </c>
      <c r="H6" s="67"/>
      <c r="I6" s="89" t="s">
        <v>29</v>
      </c>
      <c r="J6" s="89"/>
      <c r="K6" s="138"/>
      <c r="L6" s="89" t="s">
        <v>95</v>
      </c>
      <c r="M6" s="67"/>
      <c r="N6" s="47" t="s">
        <v>26</v>
      </c>
      <c r="O6" s="67"/>
      <c r="P6" s="66" t="s">
        <v>27</v>
      </c>
      <c r="Q6" s="67"/>
      <c r="R6" s="66" t="s">
        <v>28</v>
      </c>
      <c r="S6" s="67"/>
      <c r="T6" s="89" t="s">
        <v>29</v>
      </c>
      <c r="U6" s="67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s="41" customFormat="1" ht="39.75" customHeight="1">
      <c r="A7" s="68" t="s">
        <v>30</v>
      </c>
      <c r="B7" s="69"/>
      <c r="C7" s="48" t="s">
        <v>31</v>
      </c>
      <c r="D7" s="69"/>
      <c r="E7" s="68" t="s">
        <v>32</v>
      </c>
      <c r="F7" s="69"/>
      <c r="G7" s="68" t="s">
        <v>33</v>
      </c>
      <c r="H7" s="69"/>
      <c r="I7" s="90" t="s">
        <v>34</v>
      </c>
      <c r="J7" s="90"/>
      <c r="K7" s="138"/>
      <c r="L7" s="90" t="s">
        <v>30</v>
      </c>
      <c r="M7" s="69"/>
      <c r="N7" s="48" t="s">
        <v>31</v>
      </c>
      <c r="O7" s="69"/>
      <c r="P7" s="68" t="s">
        <v>32</v>
      </c>
      <c r="Q7" s="69"/>
      <c r="R7" s="68" t="s">
        <v>33</v>
      </c>
      <c r="S7" s="69"/>
      <c r="T7" s="90" t="s">
        <v>34</v>
      </c>
      <c r="U7" s="69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s="41" customFormat="1" ht="39.75" customHeight="1">
      <c r="A8" s="70" t="s">
        <v>35</v>
      </c>
      <c r="B8" s="71"/>
      <c r="C8" s="49" t="s">
        <v>36</v>
      </c>
      <c r="D8" s="71"/>
      <c r="E8" s="70" t="s">
        <v>37</v>
      </c>
      <c r="F8" s="71"/>
      <c r="G8" s="70" t="s">
        <v>38</v>
      </c>
      <c r="H8" s="71"/>
      <c r="I8" s="91" t="s">
        <v>39</v>
      </c>
      <c r="J8" s="91"/>
      <c r="K8" s="138"/>
      <c r="L8" s="91" t="s">
        <v>35</v>
      </c>
      <c r="M8" s="71"/>
      <c r="N8" s="49" t="s">
        <v>36</v>
      </c>
      <c r="O8" s="71"/>
      <c r="P8" s="70" t="s">
        <v>37</v>
      </c>
      <c r="Q8" s="71"/>
      <c r="R8" s="70" t="s">
        <v>38</v>
      </c>
      <c r="S8" s="71"/>
      <c r="T8" s="91" t="s">
        <v>39</v>
      </c>
      <c r="U8" s="71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s="41" customFormat="1" ht="39.75" customHeight="1">
      <c r="A9" s="72" t="s">
        <v>40</v>
      </c>
      <c r="B9" s="73"/>
      <c r="C9" s="50" t="s">
        <v>41</v>
      </c>
      <c r="D9" s="73"/>
      <c r="E9" s="72" t="s">
        <v>42</v>
      </c>
      <c r="F9" s="73"/>
      <c r="G9" s="72" t="s">
        <v>43</v>
      </c>
      <c r="H9" s="73"/>
      <c r="I9" s="92" t="s">
        <v>44</v>
      </c>
      <c r="J9" s="92"/>
      <c r="K9" s="138"/>
      <c r="L9" s="92" t="s">
        <v>40</v>
      </c>
      <c r="M9" s="73"/>
      <c r="N9" s="50" t="s">
        <v>41</v>
      </c>
      <c r="O9" s="73"/>
      <c r="P9" s="72" t="s">
        <v>42</v>
      </c>
      <c r="Q9" s="73"/>
      <c r="R9" s="72" t="s">
        <v>43</v>
      </c>
      <c r="S9" s="73"/>
      <c r="T9" s="92" t="s">
        <v>44</v>
      </c>
      <c r="U9" s="73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s="41" customFormat="1" ht="39.75" customHeight="1">
      <c r="A10" s="74" t="s">
        <v>45</v>
      </c>
      <c r="B10" s="75"/>
      <c r="C10" s="51" t="s">
        <v>46</v>
      </c>
      <c r="D10" s="75"/>
      <c r="E10" s="74" t="s">
        <v>47</v>
      </c>
      <c r="F10" s="75"/>
      <c r="G10" s="74" t="s">
        <v>48</v>
      </c>
      <c r="H10" s="75"/>
      <c r="I10" s="93" t="s">
        <v>49</v>
      </c>
      <c r="J10" s="93"/>
      <c r="K10" s="138"/>
      <c r="L10" s="93" t="s">
        <v>45</v>
      </c>
      <c r="M10" s="75"/>
      <c r="N10" s="51" t="s">
        <v>46</v>
      </c>
      <c r="O10" s="75"/>
      <c r="P10" s="74" t="s">
        <v>47</v>
      </c>
      <c r="Q10" s="75"/>
      <c r="R10" s="74" t="s">
        <v>48</v>
      </c>
      <c r="S10" s="75"/>
      <c r="T10" s="93" t="s">
        <v>49</v>
      </c>
      <c r="U10" s="75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s="41" customFormat="1" ht="39.75" customHeight="1">
      <c r="A11" s="76" t="s">
        <v>50</v>
      </c>
      <c r="B11" s="77"/>
      <c r="C11" s="52" t="s">
        <v>51</v>
      </c>
      <c r="D11" s="77"/>
      <c r="E11" s="76" t="s">
        <v>52</v>
      </c>
      <c r="F11" s="77"/>
      <c r="G11" s="76" t="s">
        <v>53</v>
      </c>
      <c r="H11" s="77"/>
      <c r="I11" s="94" t="s">
        <v>54</v>
      </c>
      <c r="J11" s="94"/>
      <c r="K11" s="138"/>
      <c r="L11" s="94" t="s">
        <v>50</v>
      </c>
      <c r="M11" s="77"/>
      <c r="N11" s="52" t="s">
        <v>51</v>
      </c>
      <c r="O11" s="77"/>
      <c r="P11" s="76" t="s">
        <v>52</v>
      </c>
      <c r="Q11" s="77"/>
      <c r="R11" s="76" t="s">
        <v>53</v>
      </c>
      <c r="S11" s="77"/>
      <c r="T11" s="94" t="s">
        <v>54</v>
      </c>
      <c r="U11" s="77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s="41" customFormat="1" ht="39.75" customHeight="1">
      <c r="A12" s="150" t="s">
        <v>55</v>
      </c>
      <c r="B12" s="151"/>
      <c r="C12" s="150" t="s">
        <v>56</v>
      </c>
      <c r="D12" s="151"/>
      <c r="E12" s="150" t="s">
        <v>57</v>
      </c>
      <c r="F12" s="151"/>
      <c r="G12" s="150" t="s">
        <v>58</v>
      </c>
      <c r="H12" s="151"/>
      <c r="I12" s="150" t="s">
        <v>59</v>
      </c>
      <c r="J12" s="151"/>
      <c r="K12" s="138"/>
      <c r="L12" s="95" t="s">
        <v>55</v>
      </c>
      <c r="M12" s="79"/>
      <c r="N12" s="53" t="s">
        <v>56</v>
      </c>
      <c r="O12" s="79"/>
      <c r="P12" s="78" t="s">
        <v>57</v>
      </c>
      <c r="Q12" s="79"/>
      <c r="R12" s="78" t="s">
        <v>58</v>
      </c>
      <c r="S12" s="79"/>
      <c r="T12" s="95" t="s">
        <v>59</v>
      </c>
      <c r="U12" s="79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s="41" customFormat="1" ht="39.75" customHeight="1">
      <c r="A13" s="147" t="s">
        <v>60</v>
      </c>
      <c r="B13" s="148"/>
      <c r="C13" s="149" t="s">
        <v>61</v>
      </c>
      <c r="D13" s="148"/>
      <c r="E13" s="147" t="s">
        <v>62</v>
      </c>
      <c r="F13" s="148"/>
      <c r="G13" s="147" t="s">
        <v>63</v>
      </c>
      <c r="H13" s="148"/>
      <c r="I13" s="152" t="s">
        <v>64</v>
      </c>
      <c r="J13" s="152"/>
      <c r="K13" s="138"/>
      <c r="L13" s="96" t="s">
        <v>60</v>
      </c>
      <c r="M13" s="81"/>
      <c r="N13" s="54" t="s">
        <v>61</v>
      </c>
      <c r="O13" s="81"/>
      <c r="P13" s="80" t="s">
        <v>62</v>
      </c>
      <c r="Q13" s="81"/>
      <c r="R13" s="80" t="s">
        <v>63</v>
      </c>
      <c r="S13" s="81"/>
      <c r="T13" s="96" t="s">
        <v>64</v>
      </c>
      <c r="U13" s="81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s="41" customFormat="1" ht="39.75" customHeight="1">
      <c r="A14" s="143" t="s">
        <v>65</v>
      </c>
      <c r="B14" s="144"/>
      <c r="C14" s="145" t="s">
        <v>66</v>
      </c>
      <c r="D14" s="144"/>
      <c r="E14" s="143" t="s">
        <v>67</v>
      </c>
      <c r="F14" s="144"/>
      <c r="G14" s="143" t="s">
        <v>68</v>
      </c>
      <c r="H14" s="144"/>
      <c r="I14" s="146" t="s">
        <v>69</v>
      </c>
      <c r="J14" s="146"/>
      <c r="K14" s="138"/>
      <c r="L14" s="97" t="s">
        <v>65</v>
      </c>
      <c r="M14" s="83"/>
      <c r="N14" s="55" t="s">
        <v>66</v>
      </c>
      <c r="O14" s="83"/>
      <c r="P14" s="82" t="s">
        <v>67</v>
      </c>
      <c r="Q14" s="83"/>
      <c r="R14" s="82" t="s">
        <v>68</v>
      </c>
      <c r="S14" s="83"/>
      <c r="T14" s="97" t="s">
        <v>69</v>
      </c>
      <c r="U14" s="83"/>
      <c r="V14" s="4"/>
      <c r="W14" s="4"/>
      <c r="X14" s="4"/>
      <c r="Y14" s="4"/>
      <c r="Z14" s="4"/>
      <c r="AA14" s="4"/>
      <c r="AB14" s="4"/>
      <c r="AC14" s="4"/>
      <c r="AD14" s="4"/>
      <c r="AE14" s="4"/>
    </row>
  </sheetData>
  <conditionalFormatting sqref="V1:AE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5"/>
  <sheetViews>
    <sheetView topLeftCell="C6" zoomScale="70" zoomScaleNormal="70" workbookViewId="0">
      <selection activeCell="A2" sqref="A2:T13"/>
    </sheetView>
  </sheetViews>
  <sheetFormatPr defaultColWidth="9.33203125" defaultRowHeight="86.25" customHeight="1"/>
  <cols>
    <col min="1" max="1" width="17.109375" style="132" customWidth="1"/>
    <col min="2" max="2" width="17.109375" style="133" customWidth="1"/>
    <col min="3" max="3" width="3.109375" style="134" customWidth="1"/>
    <col min="4" max="4" width="17.109375" style="132" customWidth="1"/>
    <col min="5" max="5" width="17.109375" style="135" customWidth="1"/>
    <col min="6" max="6" width="3.109375" style="135" customWidth="1"/>
    <col min="7" max="7" width="17.109375" style="132" customWidth="1"/>
    <col min="8" max="8" width="17.109375" style="135" customWidth="1"/>
    <col min="9" max="9" width="3.109375" style="135" customWidth="1"/>
    <col min="10" max="10" width="17.109375" style="132" customWidth="1"/>
    <col min="11" max="11" width="17.109375" style="135" customWidth="1"/>
    <col min="12" max="12" width="3.109375" style="135" customWidth="1"/>
    <col min="13" max="13" width="17.109375" style="132" customWidth="1"/>
    <col min="14" max="14" width="17.109375" style="135" customWidth="1"/>
    <col min="15" max="15" width="3.109375" style="135" customWidth="1"/>
    <col min="16" max="16" width="17.109375" style="132" customWidth="1"/>
    <col min="17" max="17" width="17.109375" style="135" customWidth="1"/>
    <col min="18" max="18" width="3.109375" style="135" customWidth="1"/>
    <col min="19" max="19" width="17.109375" style="132" customWidth="1"/>
    <col min="20" max="20" width="17.109375" style="135" customWidth="1"/>
    <col min="21" max="21" width="6.33203125" style="135" customWidth="1"/>
    <col min="22" max="16384" width="9.33203125" style="135"/>
  </cols>
  <sheetData>
    <row r="1" spans="1:20" ht="88.95" customHeight="1"/>
    <row r="2" spans="1:20" ht="74.400000000000006" customHeight="1">
      <c r="A2" s="117" t="s">
        <v>70</v>
      </c>
      <c r="B2" s="115" t="s">
        <v>70</v>
      </c>
      <c r="C2" s="116"/>
      <c r="D2" s="119" t="s">
        <v>80</v>
      </c>
      <c r="E2" s="103" t="s">
        <v>80</v>
      </c>
      <c r="F2" s="116"/>
      <c r="G2" s="122" t="s">
        <v>90</v>
      </c>
      <c r="H2" s="105" t="s">
        <v>90</v>
      </c>
      <c r="I2" s="116"/>
      <c r="J2" s="124" t="s">
        <v>30</v>
      </c>
      <c r="K2" s="107" t="s">
        <v>30</v>
      </c>
      <c r="M2" s="126" t="s">
        <v>40</v>
      </c>
      <c r="N2" s="109" t="s">
        <v>40</v>
      </c>
      <c r="P2" s="128" t="s">
        <v>50</v>
      </c>
      <c r="Q2" s="111" t="s">
        <v>50</v>
      </c>
      <c r="S2" s="130" t="s">
        <v>60</v>
      </c>
      <c r="T2" s="113" t="s">
        <v>60</v>
      </c>
    </row>
    <row r="3" spans="1:20" ht="74.400000000000006" customHeight="1">
      <c r="A3" s="117" t="s">
        <v>71</v>
      </c>
      <c r="B3" s="115" t="s">
        <v>71</v>
      </c>
      <c r="C3" s="116"/>
      <c r="D3" s="119" t="s">
        <v>81</v>
      </c>
      <c r="E3" s="103" t="s">
        <v>81</v>
      </c>
      <c r="F3" s="116"/>
      <c r="G3" s="122" t="s">
        <v>91</v>
      </c>
      <c r="H3" s="105" t="s">
        <v>91</v>
      </c>
      <c r="I3" s="116"/>
      <c r="J3" s="124" t="s">
        <v>31</v>
      </c>
      <c r="K3" s="107" t="s">
        <v>31</v>
      </c>
      <c r="M3" s="126" t="s">
        <v>41</v>
      </c>
      <c r="N3" s="109" t="s">
        <v>41</v>
      </c>
      <c r="P3" s="128" t="s">
        <v>51</v>
      </c>
      <c r="Q3" s="111" t="s">
        <v>51</v>
      </c>
      <c r="S3" s="130" t="s">
        <v>61</v>
      </c>
      <c r="T3" s="113" t="s">
        <v>61</v>
      </c>
    </row>
    <row r="4" spans="1:20" ht="74.400000000000006" customHeight="1">
      <c r="A4" s="117" t="s">
        <v>72</v>
      </c>
      <c r="B4" s="115" t="s">
        <v>72</v>
      </c>
      <c r="C4" s="116"/>
      <c r="D4" s="119" t="s">
        <v>82</v>
      </c>
      <c r="E4" s="103" t="s">
        <v>82</v>
      </c>
      <c r="F4" s="116"/>
      <c r="G4" s="122" t="s">
        <v>92</v>
      </c>
      <c r="H4" s="105" t="s">
        <v>92</v>
      </c>
      <c r="I4" s="116"/>
      <c r="J4" s="124" t="s">
        <v>32</v>
      </c>
      <c r="K4" s="107" t="s">
        <v>32</v>
      </c>
      <c r="M4" s="126" t="s">
        <v>42</v>
      </c>
      <c r="N4" s="109" t="s">
        <v>42</v>
      </c>
      <c r="P4" s="128" t="s">
        <v>52</v>
      </c>
      <c r="Q4" s="111" t="s">
        <v>52</v>
      </c>
      <c r="S4" s="130" t="s">
        <v>62</v>
      </c>
      <c r="T4" s="113" t="s">
        <v>62</v>
      </c>
    </row>
    <row r="5" spans="1:20" ht="74.400000000000006" customHeight="1">
      <c r="A5" s="117" t="s">
        <v>73</v>
      </c>
      <c r="B5" s="115" t="s">
        <v>73</v>
      </c>
      <c r="C5" s="116"/>
      <c r="D5" s="119" t="s">
        <v>83</v>
      </c>
      <c r="E5" s="103" t="s">
        <v>83</v>
      </c>
      <c r="F5" s="116"/>
      <c r="G5" s="122" t="s">
        <v>93</v>
      </c>
      <c r="H5" s="105" t="s">
        <v>93</v>
      </c>
      <c r="I5" s="116"/>
      <c r="J5" s="124" t="s">
        <v>33</v>
      </c>
      <c r="K5" s="107" t="s">
        <v>33</v>
      </c>
      <c r="M5" s="126" t="s">
        <v>43</v>
      </c>
      <c r="N5" s="109" t="s">
        <v>43</v>
      </c>
      <c r="P5" s="128" t="s">
        <v>53</v>
      </c>
      <c r="Q5" s="111" t="s">
        <v>53</v>
      </c>
      <c r="S5" s="130" t="s">
        <v>63</v>
      </c>
      <c r="T5" s="113" t="s">
        <v>63</v>
      </c>
    </row>
    <row r="6" spans="1:20" ht="74.400000000000006" customHeight="1">
      <c r="A6" s="117" t="s">
        <v>74</v>
      </c>
      <c r="B6" s="115" t="s">
        <v>74</v>
      </c>
      <c r="C6" s="116"/>
      <c r="D6" s="119" t="s">
        <v>84</v>
      </c>
      <c r="E6" s="103" t="s">
        <v>84</v>
      </c>
      <c r="F6" s="116"/>
      <c r="G6" s="122" t="s">
        <v>94</v>
      </c>
      <c r="H6" s="105" t="s">
        <v>94</v>
      </c>
      <c r="I6" s="116"/>
      <c r="J6" s="124" t="s">
        <v>34</v>
      </c>
      <c r="K6" s="107" t="s">
        <v>34</v>
      </c>
      <c r="M6" s="126" t="s">
        <v>44</v>
      </c>
      <c r="N6" s="109" t="s">
        <v>44</v>
      </c>
      <c r="P6" s="128" t="s">
        <v>54</v>
      </c>
      <c r="Q6" s="111" t="s">
        <v>54</v>
      </c>
      <c r="S6" s="130" t="s">
        <v>64</v>
      </c>
      <c r="T6" s="113" t="s">
        <v>64</v>
      </c>
    </row>
    <row r="7" spans="1:20" ht="26.25" customHeight="1">
      <c r="C7" s="135"/>
      <c r="E7" s="133"/>
      <c r="H7" s="133"/>
      <c r="K7" s="133"/>
      <c r="N7" s="133"/>
      <c r="Q7" s="133"/>
      <c r="T7" s="133"/>
    </row>
    <row r="8" spans="1:20" ht="88.95" customHeight="1">
      <c r="C8" s="135"/>
      <c r="E8" s="133"/>
      <c r="H8" s="133"/>
      <c r="K8" s="133"/>
      <c r="N8" s="133"/>
      <c r="Q8" s="133"/>
      <c r="T8" s="133"/>
    </row>
    <row r="9" spans="1:20" ht="74.400000000000006" customHeight="1">
      <c r="A9" s="118" t="s">
        <v>75</v>
      </c>
      <c r="B9" s="102" t="s">
        <v>75</v>
      </c>
      <c r="C9" s="116"/>
      <c r="D9" s="120" t="s">
        <v>85</v>
      </c>
      <c r="E9" s="104" t="s">
        <v>85</v>
      </c>
      <c r="F9" s="116"/>
      <c r="G9" s="123" t="s">
        <v>96</v>
      </c>
      <c r="H9" s="106" t="s">
        <v>96</v>
      </c>
      <c r="I9" s="116"/>
      <c r="J9" s="125" t="s">
        <v>35</v>
      </c>
      <c r="K9" s="108" t="s">
        <v>35</v>
      </c>
      <c r="M9" s="127" t="s">
        <v>45</v>
      </c>
      <c r="N9" s="110" t="s">
        <v>45</v>
      </c>
      <c r="P9" s="129" t="s">
        <v>55</v>
      </c>
      <c r="Q9" s="112" t="s">
        <v>55</v>
      </c>
      <c r="S9" s="131" t="s">
        <v>65</v>
      </c>
      <c r="T9" s="114" t="s">
        <v>65</v>
      </c>
    </row>
    <row r="10" spans="1:20" ht="74.400000000000006" customHeight="1">
      <c r="A10" s="118" t="s">
        <v>76</v>
      </c>
      <c r="B10" s="102" t="s">
        <v>76</v>
      </c>
      <c r="C10" s="116"/>
      <c r="D10" s="120" t="s">
        <v>86</v>
      </c>
      <c r="E10" s="104" t="s">
        <v>86</v>
      </c>
      <c r="F10" s="116"/>
      <c r="G10" s="123" t="s">
        <v>26</v>
      </c>
      <c r="H10" s="106" t="s">
        <v>26</v>
      </c>
      <c r="I10" s="116"/>
      <c r="J10" s="125" t="s">
        <v>36</v>
      </c>
      <c r="K10" s="108" t="s">
        <v>36</v>
      </c>
      <c r="M10" s="127" t="s">
        <v>46</v>
      </c>
      <c r="N10" s="110" t="s">
        <v>46</v>
      </c>
      <c r="P10" s="129" t="s">
        <v>56</v>
      </c>
      <c r="Q10" s="112" t="s">
        <v>56</v>
      </c>
      <c r="S10" s="131" t="s">
        <v>66</v>
      </c>
      <c r="T10" s="114" t="s">
        <v>66</v>
      </c>
    </row>
    <row r="11" spans="1:20" ht="74.400000000000006" customHeight="1">
      <c r="A11" s="118" t="s">
        <v>77</v>
      </c>
      <c r="B11" s="102" t="s">
        <v>77</v>
      </c>
      <c r="C11" s="116"/>
      <c r="D11" s="120" t="s">
        <v>87</v>
      </c>
      <c r="E11" s="104" t="s">
        <v>87</v>
      </c>
      <c r="F11" s="116"/>
      <c r="G11" s="123" t="s">
        <v>27</v>
      </c>
      <c r="H11" s="106" t="s">
        <v>27</v>
      </c>
      <c r="I11" s="116"/>
      <c r="J11" s="125" t="s">
        <v>37</v>
      </c>
      <c r="K11" s="108" t="s">
        <v>37</v>
      </c>
      <c r="M11" s="127" t="s">
        <v>47</v>
      </c>
      <c r="N11" s="110" t="s">
        <v>47</v>
      </c>
      <c r="P11" s="129" t="s">
        <v>57</v>
      </c>
      <c r="Q11" s="112" t="s">
        <v>57</v>
      </c>
      <c r="S11" s="131" t="s">
        <v>67</v>
      </c>
      <c r="T11" s="114" t="s">
        <v>67</v>
      </c>
    </row>
    <row r="12" spans="1:20" ht="74.400000000000006" customHeight="1">
      <c r="A12" s="118" t="s">
        <v>78</v>
      </c>
      <c r="B12" s="102" t="s">
        <v>78</v>
      </c>
      <c r="C12" s="116"/>
      <c r="D12" s="120" t="s">
        <v>88</v>
      </c>
      <c r="E12" s="104" t="s">
        <v>88</v>
      </c>
      <c r="F12" s="116"/>
      <c r="G12" s="123" t="s">
        <v>28</v>
      </c>
      <c r="H12" s="106" t="s">
        <v>28</v>
      </c>
      <c r="I12" s="116"/>
      <c r="J12" s="125" t="s">
        <v>38</v>
      </c>
      <c r="K12" s="108" t="s">
        <v>38</v>
      </c>
      <c r="M12" s="127" t="s">
        <v>48</v>
      </c>
      <c r="N12" s="110" t="s">
        <v>48</v>
      </c>
      <c r="P12" s="129" t="s">
        <v>58</v>
      </c>
      <c r="Q12" s="112" t="s">
        <v>58</v>
      </c>
      <c r="S12" s="131" t="s">
        <v>68</v>
      </c>
      <c r="T12" s="114" t="s">
        <v>68</v>
      </c>
    </row>
    <row r="13" spans="1:20" ht="74.400000000000006" customHeight="1">
      <c r="A13" s="118" t="s">
        <v>79</v>
      </c>
      <c r="B13" s="102" t="s">
        <v>79</v>
      </c>
      <c r="C13" s="116"/>
      <c r="D13" s="120" t="s">
        <v>89</v>
      </c>
      <c r="E13" s="104" t="s">
        <v>89</v>
      </c>
      <c r="F13" s="116"/>
      <c r="G13" s="123" t="s">
        <v>29</v>
      </c>
      <c r="H13" s="106" t="s">
        <v>29</v>
      </c>
      <c r="I13" s="116"/>
      <c r="J13" s="125" t="s">
        <v>39</v>
      </c>
      <c r="K13" s="108" t="s">
        <v>39</v>
      </c>
      <c r="M13" s="127" t="s">
        <v>49</v>
      </c>
      <c r="N13" s="110" t="s">
        <v>49</v>
      </c>
      <c r="P13" s="129" t="s">
        <v>59</v>
      </c>
      <c r="Q13" s="112" t="s">
        <v>59</v>
      </c>
      <c r="S13" s="131" t="s">
        <v>69</v>
      </c>
      <c r="T13" s="114" t="s">
        <v>69</v>
      </c>
    </row>
    <row r="14" spans="1:20" ht="26.25" customHeight="1">
      <c r="C14" s="135"/>
      <c r="E14" s="133"/>
      <c r="H14" s="133"/>
      <c r="K14" s="133"/>
      <c r="N14" s="133"/>
      <c r="Q14" s="133"/>
    </row>
    <row r="15" spans="1:20" ht="86.25" customHeight="1">
      <c r="C15" s="116"/>
      <c r="F15" s="116"/>
      <c r="I15" s="116"/>
    </row>
    <row r="16" spans="1:20" ht="86.25" customHeight="1">
      <c r="C16" s="116"/>
      <c r="F16" s="116"/>
      <c r="I16" s="116"/>
    </row>
    <row r="17" spans="3:9" ht="86.25" customHeight="1">
      <c r="C17" s="116"/>
      <c r="F17" s="116"/>
      <c r="I17" s="116"/>
    </row>
    <row r="18" spans="3:9" ht="86.25" customHeight="1">
      <c r="C18" s="116"/>
      <c r="F18" s="116"/>
      <c r="I18" s="116"/>
    </row>
    <row r="19" spans="3:9" ht="86.25" customHeight="1">
      <c r="C19" s="116"/>
      <c r="F19" s="116"/>
      <c r="I19" s="116"/>
    </row>
    <row r="20" spans="3:9" ht="26.25" customHeight="1">
      <c r="C20" s="135"/>
    </row>
    <row r="21" spans="3:9" ht="86.25" customHeight="1">
      <c r="C21" s="116"/>
      <c r="F21" s="116"/>
      <c r="I21" s="116"/>
    </row>
    <row r="22" spans="3:9" ht="86.25" customHeight="1">
      <c r="C22" s="116"/>
      <c r="F22" s="116"/>
      <c r="I22" s="116"/>
    </row>
    <row r="23" spans="3:9" ht="86.25" customHeight="1">
      <c r="C23" s="116"/>
      <c r="F23" s="116"/>
      <c r="I23" s="116"/>
    </row>
    <row r="24" spans="3:9" ht="86.25" customHeight="1">
      <c r="C24" s="116"/>
      <c r="F24" s="116"/>
      <c r="I24" s="116"/>
    </row>
    <row r="25" spans="3:9" ht="86.25" customHeight="1">
      <c r="C25" s="116"/>
      <c r="F25" s="116"/>
      <c r="I25" s="116"/>
    </row>
    <row r="26" spans="3:9" ht="26.25" customHeight="1">
      <c r="C26" s="135"/>
    </row>
    <row r="27" spans="3:9" ht="86.25" customHeight="1">
      <c r="C27" s="116"/>
      <c r="F27" s="116"/>
      <c r="I27" s="116"/>
    </row>
    <row r="28" spans="3:9" ht="86.25" customHeight="1">
      <c r="C28" s="116"/>
      <c r="F28" s="116"/>
      <c r="I28" s="116"/>
    </row>
    <row r="29" spans="3:9" ht="86.25" customHeight="1">
      <c r="C29" s="116"/>
      <c r="F29" s="116"/>
      <c r="I29" s="116"/>
    </row>
    <row r="30" spans="3:9" ht="86.25" customHeight="1">
      <c r="C30" s="116"/>
      <c r="F30" s="116"/>
      <c r="I30" s="116"/>
    </row>
    <row r="31" spans="3:9" ht="86.25" customHeight="1">
      <c r="C31" s="116"/>
      <c r="F31" s="116"/>
      <c r="I31" s="116"/>
    </row>
    <row r="32" spans="3:9" ht="26.25" customHeight="1">
      <c r="C32" s="135"/>
    </row>
    <row r="33" spans="3:9" ht="86.25" customHeight="1">
      <c r="C33" s="116"/>
      <c r="F33" s="116"/>
      <c r="I33" s="116"/>
    </row>
    <row r="34" spans="3:9" ht="86.25" customHeight="1">
      <c r="C34" s="116"/>
      <c r="F34" s="116"/>
      <c r="I34" s="116"/>
    </row>
    <row r="35" spans="3:9" ht="86.25" customHeight="1">
      <c r="C35" s="116"/>
      <c r="F35" s="116"/>
      <c r="I35" s="116"/>
    </row>
    <row r="36" spans="3:9" ht="86.25" customHeight="1">
      <c r="C36" s="116"/>
      <c r="F36" s="116"/>
      <c r="I36" s="116"/>
    </row>
    <row r="37" spans="3:9" ht="86.25" customHeight="1">
      <c r="C37" s="116"/>
      <c r="F37" s="116"/>
      <c r="I37" s="116"/>
    </row>
    <row r="38" spans="3:9" ht="26.25" customHeight="1">
      <c r="C38" s="135"/>
    </row>
    <row r="39" spans="3:9" ht="86.25" customHeight="1">
      <c r="C39" s="116"/>
      <c r="F39" s="116"/>
      <c r="I39" s="116"/>
    </row>
    <row r="40" spans="3:9" ht="86.25" customHeight="1">
      <c r="C40" s="116"/>
      <c r="F40" s="116"/>
      <c r="I40" s="116"/>
    </row>
    <row r="41" spans="3:9" ht="86.25" customHeight="1">
      <c r="C41" s="116"/>
      <c r="F41" s="116"/>
      <c r="I41" s="116"/>
    </row>
    <row r="42" spans="3:9" ht="86.25" customHeight="1">
      <c r="C42" s="116"/>
      <c r="F42" s="116"/>
      <c r="I42" s="116"/>
    </row>
    <row r="43" spans="3:9" ht="86.25" customHeight="1">
      <c r="C43" s="116"/>
      <c r="F43" s="116"/>
      <c r="I43" s="116"/>
    </row>
    <row r="44" spans="3:9" ht="26.25" customHeight="1">
      <c r="C44" s="135"/>
    </row>
    <row r="45" spans="3:9" ht="86.25" customHeight="1">
      <c r="C45" s="116"/>
      <c r="F45" s="116"/>
      <c r="I45" s="116"/>
    </row>
    <row r="46" spans="3:9" ht="86.25" customHeight="1">
      <c r="C46" s="116"/>
      <c r="F46" s="116"/>
      <c r="I46" s="116"/>
    </row>
    <row r="47" spans="3:9" ht="86.25" customHeight="1">
      <c r="C47" s="116"/>
      <c r="F47" s="116"/>
      <c r="I47" s="116"/>
    </row>
    <row r="48" spans="3:9" ht="86.25" customHeight="1">
      <c r="C48" s="116"/>
      <c r="F48" s="116"/>
      <c r="I48" s="116"/>
    </row>
    <row r="49" spans="3:9" ht="86.25" customHeight="1">
      <c r="C49" s="116"/>
      <c r="F49" s="116"/>
      <c r="I49" s="116"/>
    </row>
    <row r="50" spans="3:9" ht="26.25" customHeight="1">
      <c r="C50" s="135"/>
    </row>
    <row r="51" spans="3:9" ht="86.25" customHeight="1">
      <c r="C51" s="116"/>
      <c r="F51" s="116"/>
      <c r="I51" s="116"/>
    </row>
    <row r="52" spans="3:9" ht="86.25" customHeight="1">
      <c r="C52" s="116"/>
      <c r="F52" s="116"/>
      <c r="I52" s="116"/>
    </row>
    <row r="53" spans="3:9" ht="86.25" customHeight="1">
      <c r="C53" s="116"/>
      <c r="F53" s="116"/>
      <c r="I53" s="116"/>
    </row>
    <row r="54" spans="3:9" ht="86.25" customHeight="1">
      <c r="C54" s="116"/>
      <c r="F54" s="116"/>
      <c r="I54" s="116"/>
    </row>
    <row r="55" spans="3:9" ht="86.25" customHeight="1">
      <c r="C55" s="116"/>
      <c r="F55" s="116"/>
      <c r="I55" s="116"/>
    </row>
    <row r="56" spans="3:9" ht="26.25" customHeight="1">
      <c r="C56" s="135"/>
    </row>
    <row r="57" spans="3:9" ht="86.25" customHeight="1">
      <c r="C57" s="116"/>
      <c r="F57" s="116"/>
      <c r="I57" s="116"/>
    </row>
    <row r="58" spans="3:9" ht="86.25" customHeight="1">
      <c r="C58" s="116"/>
      <c r="F58" s="116"/>
      <c r="I58" s="116"/>
    </row>
    <row r="59" spans="3:9" ht="86.25" customHeight="1">
      <c r="C59" s="116"/>
      <c r="F59" s="116"/>
      <c r="I59" s="116"/>
    </row>
    <row r="60" spans="3:9" ht="86.25" customHeight="1">
      <c r="C60" s="116"/>
      <c r="F60" s="116"/>
      <c r="I60" s="116"/>
    </row>
    <row r="61" spans="3:9" ht="86.25" customHeight="1">
      <c r="C61" s="116"/>
      <c r="F61" s="116"/>
      <c r="I61" s="116"/>
    </row>
    <row r="62" spans="3:9" ht="26.25" customHeight="1">
      <c r="C62" s="135"/>
    </row>
    <row r="63" spans="3:9" ht="86.25" customHeight="1">
      <c r="C63" s="116"/>
      <c r="F63" s="116"/>
      <c r="G63" s="121"/>
      <c r="H63" s="116"/>
      <c r="I63" s="116"/>
    </row>
    <row r="64" spans="3:9" ht="86.25" customHeight="1">
      <c r="C64" s="116"/>
      <c r="F64" s="116"/>
      <c r="G64" s="121"/>
      <c r="H64" s="116"/>
      <c r="I64" s="116"/>
    </row>
    <row r="65" spans="3:9" ht="86.25" customHeight="1">
      <c r="C65" s="116"/>
      <c r="F65" s="116"/>
      <c r="G65" s="121"/>
      <c r="H65" s="116"/>
      <c r="I65" s="116"/>
    </row>
    <row r="66" spans="3:9" ht="86.25" customHeight="1">
      <c r="C66" s="116"/>
      <c r="F66" s="116"/>
      <c r="G66" s="121"/>
      <c r="H66" s="116"/>
      <c r="I66" s="116"/>
    </row>
    <row r="67" spans="3:9" ht="86.25" customHeight="1">
      <c r="C67" s="116"/>
      <c r="F67" s="116"/>
      <c r="G67" s="121"/>
      <c r="H67" s="116"/>
      <c r="I67" s="116"/>
    </row>
    <row r="68" spans="3:9" ht="26.25" customHeight="1">
      <c r="C68" s="135"/>
    </row>
    <row r="69" spans="3:9" ht="86.25" customHeight="1">
      <c r="C69" s="116"/>
      <c r="F69" s="116"/>
      <c r="G69" s="121"/>
      <c r="H69" s="116"/>
      <c r="I69" s="116"/>
    </row>
    <row r="70" spans="3:9" ht="86.25" customHeight="1">
      <c r="C70" s="116"/>
      <c r="F70" s="116"/>
      <c r="G70" s="121"/>
      <c r="H70" s="116"/>
      <c r="I70" s="116"/>
    </row>
    <row r="71" spans="3:9" ht="86.25" customHeight="1">
      <c r="C71" s="116"/>
      <c r="F71" s="116"/>
      <c r="G71" s="121"/>
      <c r="H71" s="116"/>
      <c r="I71" s="116"/>
    </row>
    <row r="72" spans="3:9" ht="86.25" customHeight="1">
      <c r="C72" s="116"/>
      <c r="F72" s="116"/>
      <c r="G72" s="121"/>
      <c r="H72" s="116"/>
      <c r="I72" s="116"/>
    </row>
    <row r="73" spans="3:9" ht="86.25" customHeight="1">
      <c r="C73" s="116"/>
      <c r="F73" s="116"/>
      <c r="G73" s="121"/>
      <c r="H73" s="116"/>
      <c r="I73" s="116"/>
    </row>
    <row r="74" spans="3:9" ht="26.25" customHeight="1">
      <c r="C74" s="135"/>
    </row>
    <row r="75" spans="3:9" ht="86.25" customHeight="1">
      <c r="C75" s="116"/>
      <c r="D75" s="121"/>
      <c r="E75" s="116"/>
      <c r="F75" s="116"/>
      <c r="G75" s="121"/>
      <c r="H75" s="116"/>
      <c r="I75" s="116"/>
    </row>
    <row r="76" spans="3:9" ht="86.25" customHeight="1">
      <c r="C76" s="116"/>
      <c r="D76" s="121"/>
      <c r="E76" s="116"/>
      <c r="F76" s="116"/>
      <c r="G76" s="121"/>
      <c r="H76" s="116"/>
      <c r="I76" s="116"/>
    </row>
    <row r="77" spans="3:9" ht="86.25" customHeight="1">
      <c r="C77" s="116"/>
      <c r="D77" s="121"/>
      <c r="E77" s="116"/>
      <c r="F77" s="116"/>
      <c r="G77" s="121"/>
      <c r="H77" s="116"/>
      <c r="I77" s="116"/>
    </row>
    <row r="78" spans="3:9" ht="86.25" customHeight="1">
      <c r="C78" s="116"/>
      <c r="D78" s="121"/>
      <c r="E78" s="116"/>
      <c r="F78" s="116"/>
      <c r="G78" s="121"/>
      <c r="H78" s="116"/>
      <c r="I78" s="116"/>
    </row>
    <row r="79" spans="3:9" ht="86.25" customHeight="1">
      <c r="C79" s="116"/>
      <c r="D79" s="121"/>
      <c r="E79" s="116"/>
      <c r="F79" s="116"/>
      <c r="G79" s="121"/>
      <c r="H79" s="116"/>
      <c r="I79" s="116"/>
    </row>
    <row r="80" spans="3:9" ht="26.25" customHeight="1">
      <c r="C80" s="135"/>
    </row>
    <row r="81" spans="3:9" ht="86.25" customHeight="1">
      <c r="C81" s="116"/>
      <c r="D81" s="121"/>
      <c r="E81" s="116"/>
      <c r="F81" s="116"/>
      <c r="G81" s="121"/>
      <c r="H81" s="116"/>
      <c r="I81" s="116"/>
    </row>
    <row r="82" spans="3:9" ht="86.25" customHeight="1">
      <c r="C82" s="116"/>
      <c r="D82" s="121"/>
      <c r="E82" s="116"/>
      <c r="F82" s="116"/>
      <c r="G82" s="121"/>
      <c r="H82" s="116"/>
      <c r="I82" s="116"/>
    </row>
    <row r="83" spans="3:9" ht="86.25" customHeight="1">
      <c r="C83" s="116"/>
      <c r="D83" s="121"/>
      <c r="E83" s="116"/>
      <c r="F83" s="116"/>
      <c r="G83" s="121"/>
      <c r="H83" s="116"/>
      <c r="I83" s="116"/>
    </row>
    <row r="84" spans="3:9" ht="86.25" customHeight="1">
      <c r="C84" s="116"/>
      <c r="D84" s="121"/>
      <c r="E84" s="116"/>
      <c r="F84" s="116"/>
      <c r="G84" s="121"/>
      <c r="H84" s="116"/>
      <c r="I84" s="116"/>
    </row>
    <row r="85" spans="3:9" ht="86.25" customHeight="1">
      <c r="C85" s="116"/>
      <c r="D85" s="121"/>
      <c r="E85" s="116"/>
      <c r="F85" s="116"/>
      <c r="G85" s="121"/>
      <c r="H85" s="116"/>
      <c r="I85" s="11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B204-D54F-4646-875E-F36F6F101046}">
  <dimension ref="A1:H70"/>
  <sheetViews>
    <sheetView tabSelected="1" zoomScale="40" zoomScaleNormal="40" workbookViewId="0">
      <selection sqref="A1:A70"/>
    </sheetView>
  </sheetViews>
  <sheetFormatPr defaultRowHeight="92.4"/>
  <cols>
    <col min="1" max="1" width="97.5546875" style="153" customWidth="1"/>
  </cols>
  <sheetData>
    <row r="1" spans="1:3" ht="179.4">
      <c r="A1" s="154" t="s">
        <v>70</v>
      </c>
      <c r="B1" s="115"/>
      <c r="C1" s="116"/>
    </row>
    <row r="2" spans="1:3" ht="179.4">
      <c r="A2" s="154" t="s">
        <v>71</v>
      </c>
      <c r="B2" s="115"/>
      <c r="C2" s="116"/>
    </row>
    <row r="3" spans="1:3" ht="179.4">
      <c r="A3" s="154" t="s">
        <v>72</v>
      </c>
      <c r="B3" s="115"/>
      <c r="C3" s="116"/>
    </row>
    <row r="4" spans="1:3" ht="179.4">
      <c r="A4" s="154" t="s">
        <v>73</v>
      </c>
      <c r="B4" s="115"/>
      <c r="C4" s="116"/>
    </row>
    <row r="5" spans="1:3" ht="179.4">
      <c r="A5" s="154" t="s">
        <v>74</v>
      </c>
      <c r="B5" s="115"/>
      <c r="C5" s="116"/>
    </row>
    <row r="6" spans="1:3" ht="179.4">
      <c r="A6" s="155" t="s">
        <v>75</v>
      </c>
      <c r="B6" s="102"/>
      <c r="C6" s="116"/>
    </row>
    <row r="7" spans="1:3" ht="179.4">
      <c r="A7" s="155" t="s">
        <v>76</v>
      </c>
      <c r="B7" s="102"/>
      <c r="C7" s="116"/>
    </row>
    <row r="8" spans="1:3" ht="179.4">
      <c r="A8" s="155" t="s">
        <v>77</v>
      </c>
      <c r="B8" s="102"/>
      <c r="C8" s="116"/>
    </row>
    <row r="9" spans="1:3" ht="179.4">
      <c r="A9" s="155" t="s">
        <v>78</v>
      </c>
      <c r="B9" s="102"/>
      <c r="C9" s="116"/>
    </row>
    <row r="10" spans="1:3" ht="179.4">
      <c r="A10" s="155" t="s">
        <v>79</v>
      </c>
      <c r="B10" s="102"/>
      <c r="C10" s="116"/>
    </row>
    <row r="11" spans="1:3" ht="179.4">
      <c r="A11" s="156" t="s">
        <v>80</v>
      </c>
      <c r="B11" s="103"/>
      <c r="C11" s="116"/>
    </row>
    <row r="12" spans="1:3" ht="179.4">
      <c r="A12" s="156" t="s">
        <v>81</v>
      </c>
      <c r="B12" s="103"/>
      <c r="C12" s="116"/>
    </row>
    <row r="13" spans="1:3" ht="179.4">
      <c r="A13" s="156" t="s">
        <v>82</v>
      </c>
      <c r="B13" s="103"/>
      <c r="C13" s="116"/>
    </row>
    <row r="14" spans="1:3" ht="179.4">
      <c r="A14" s="156" t="s">
        <v>83</v>
      </c>
      <c r="B14" s="103"/>
      <c r="C14" s="116"/>
    </row>
    <row r="15" spans="1:3" ht="179.4">
      <c r="A15" s="156" t="s">
        <v>84</v>
      </c>
      <c r="B15" s="103"/>
      <c r="C15" s="116"/>
    </row>
    <row r="16" spans="1:3" ht="179.4">
      <c r="A16" s="157" t="s">
        <v>85</v>
      </c>
      <c r="B16" s="104"/>
      <c r="C16" s="116"/>
    </row>
    <row r="17" spans="1:3" ht="179.4">
      <c r="A17" s="157" t="s">
        <v>86</v>
      </c>
      <c r="B17" s="104"/>
      <c r="C17" s="116"/>
    </row>
    <row r="18" spans="1:3" ht="179.4">
      <c r="A18" s="157" t="s">
        <v>87</v>
      </c>
      <c r="B18" s="104"/>
      <c r="C18" s="116"/>
    </row>
    <row r="19" spans="1:3" ht="179.4">
      <c r="A19" s="157" t="s">
        <v>88</v>
      </c>
      <c r="B19" s="104"/>
      <c r="C19" s="116"/>
    </row>
    <row r="20" spans="1:3" ht="179.4">
      <c r="A20" s="157" t="s">
        <v>89</v>
      </c>
      <c r="B20" s="104"/>
      <c r="C20" s="116"/>
    </row>
    <row r="21" spans="1:3" ht="179.4">
      <c r="A21" s="158" t="s">
        <v>90</v>
      </c>
      <c r="B21" s="105"/>
      <c r="C21" s="116"/>
    </row>
    <row r="22" spans="1:3" ht="179.4">
      <c r="A22" s="158" t="s">
        <v>91</v>
      </c>
      <c r="B22" s="105"/>
      <c r="C22" s="116"/>
    </row>
    <row r="23" spans="1:3" ht="179.4">
      <c r="A23" s="158" t="s">
        <v>92</v>
      </c>
      <c r="B23" s="105"/>
      <c r="C23" s="116"/>
    </row>
    <row r="24" spans="1:3" ht="179.4">
      <c r="A24" s="158" t="s">
        <v>93</v>
      </c>
      <c r="B24" s="105"/>
      <c r="C24" s="116"/>
    </row>
    <row r="25" spans="1:3" ht="179.4">
      <c r="A25" s="158" t="s">
        <v>94</v>
      </c>
      <c r="B25" s="105"/>
      <c r="C25" s="116"/>
    </row>
    <row r="26" spans="1:3" ht="179.4">
      <c r="A26" s="159" t="s">
        <v>96</v>
      </c>
      <c r="B26" s="106"/>
      <c r="C26" s="116"/>
    </row>
    <row r="27" spans="1:3" ht="179.4">
      <c r="A27" s="159" t="s">
        <v>26</v>
      </c>
      <c r="B27" s="106"/>
      <c r="C27" s="116"/>
    </row>
    <row r="28" spans="1:3" ht="179.4">
      <c r="A28" s="159" t="s">
        <v>27</v>
      </c>
      <c r="B28" s="106"/>
      <c r="C28" s="116"/>
    </row>
    <row r="29" spans="1:3" ht="179.4">
      <c r="A29" s="159" t="s">
        <v>28</v>
      </c>
      <c r="B29" s="106"/>
      <c r="C29" s="116"/>
    </row>
    <row r="30" spans="1:3" ht="179.4">
      <c r="A30" s="159" t="s">
        <v>29</v>
      </c>
      <c r="B30" s="106"/>
      <c r="C30" s="116"/>
    </row>
    <row r="31" spans="1:3" ht="179.4">
      <c r="A31" s="160" t="s">
        <v>30</v>
      </c>
      <c r="B31" s="107"/>
      <c r="C31" s="135"/>
    </row>
    <row r="32" spans="1:3" ht="179.4">
      <c r="A32" s="160" t="s">
        <v>31</v>
      </c>
      <c r="B32" s="107"/>
      <c r="C32" s="135"/>
    </row>
    <row r="33" spans="1:8" ht="179.4">
      <c r="A33" s="160" t="s">
        <v>32</v>
      </c>
      <c r="B33" s="107"/>
      <c r="C33" s="135"/>
    </row>
    <row r="34" spans="1:8" ht="179.4">
      <c r="A34" s="160" t="s">
        <v>33</v>
      </c>
      <c r="B34" s="107"/>
      <c r="C34" s="135"/>
    </row>
    <row r="35" spans="1:8" ht="179.4">
      <c r="A35" s="160" t="s">
        <v>34</v>
      </c>
      <c r="B35" s="107"/>
      <c r="C35" s="135"/>
    </row>
    <row r="36" spans="1:8" ht="179.4">
      <c r="A36" s="161" t="s">
        <v>35</v>
      </c>
      <c r="B36" s="108"/>
      <c r="C36" s="135"/>
    </row>
    <row r="37" spans="1:8" ht="179.4">
      <c r="A37" s="161" t="s">
        <v>36</v>
      </c>
      <c r="B37" s="108"/>
      <c r="C37" s="135"/>
    </row>
    <row r="38" spans="1:8" ht="179.4">
      <c r="A38" s="161" t="s">
        <v>37</v>
      </c>
      <c r="B38" s="108"/>
      <c r="C38" s="135"/>
    </row>
    <row r="39" spans="1:8" ht="179.4">
      <c r="A39" s="161" t="s">
        <v>38</v>
      </c>
      <c r="B39" s="108"/>
      <c r="C39" s="135"/>
    </row>
    <row r="40" spans="1:8" ht="179.4">
      <c r="A40" s="161" t="s">
        <v>39</v>
      </c>
      <c r="B40" s="108"/>
      <c r="C40" s="135"/>
    </row>
    <row r="41" spans="1:8" ht="179.4">
      <c r="A41" s="162" t="s">
        <v>40</v>
      </c>
      <c r="B41" s="109"/>
      <c r="C41" s="135"/>
      <c r="H41" s="113"/>
    </row>
    <row r="42" spans="1:8" ht="179.4">
      <c r="A42" s="162" t="s">
        <v>41</v>
      </c>
      <c r="B42" s="109"/>
      <c r="C42" s="135"/>
      <c r="H42" s="113"/>
    </row>
    <row r="43" spans="1:8" ht="179.4">
      <c r="A43" s="162" t="s">
        <v>42</v>
      </c>
      <c r="B43" s="109"/>
      <c r="C43" s="135"/>
      <c r="H43" s="113"/>
    </row>
    <row r="44" spans="1:8" ht="179.4">
      <c r="A44" s="162" t="s">
        <v>43</v>
      </c>
      <c r="B44" s="109"/>
      <c r="C44" s="135"/>
      <c r="H44" s="113"/>
    </row>
    <row r="45" spans="1:8" ht="179.4">
      <c r="A45" s="162" t="s">
        <v>44</v>
      </c>
      <c r="B45" s="109"/>
      <c r="C45" s="135"/>
      <c r="H45" s="113"/>
    </row>
    <row r="46" spans="1:8" ht="179.4">
      <c r="A46" s="163" t="s">
        <v>45</v>
      </c>
      <c r="B46" s="110"/>
      <c r="C46" s="135"/>
      <c r="H46" s="114"/>
    </row>
    <row r="47" spans="1:8" ht="179.4">
      <c r="A47" s="163" t="s">
        <v>46</v>
      </c>
      <c r="B47" s="110"/>
      <c r="C47" s="135"/>
      <c r="H47" s="114"/>
    </row>
    <row r="48" spans="1:8" ht="179.4">
      <c r="A48" s="163" t="s">
        <v>47</v>
      </c>
      <c r="B48" s="110"/>
      <c r="C48" s="135"/>
      <c r="H48" s="114"/>
    </row>
    <row r="49" spans="1:8" ht="179.4">
      <c r="A49" s="163" t="s">
        <v>48</v>
      </c>
      <c r="B49" s="110"/>
      <c r="C49" s="135"/>
      <c r="H49" s="114"/>
    </row>
    <row r="50" spans="1:8" ht="179.4">
      <c r="A50" s="163" t="s">
        <v>49</v>
      </c>
      <c r="B50" s="110"/>
      <c r="C50" s="135"/>
      <c r="H50" s="114"/>
    </row>
    <row r="51" spans="1:8" ht="179.4">
      <c r="A51" s="164" t="s">
        <v>50</v>
      </c>
      <c r="B51" s="111"/>
      <c r="C51" s="135"/>
    </row>
    <row r="52" spans="1:8" ht="179.4">
      <c r="A52" s="164" t="s">
        <v>51</v>
      </c>
      <c r="B52" s="111"/>
      <c r="C52" s="135"/>
    </row>
    <row r="53" spans="1:8" ht="179.4">
      <c r="A53" s="164" t="s">
        <v>52</v>
      </c>
      <c r="B53" s="111"/>
      <c r="C53" s="135"/>
    </row>
    <row r="54" spans="1:8" ht="179.4">
      <c r="A54" s="164" t="s">
        <v>53</v>
      </c>
      <c r="B54" s="111"/>
      <c r="C54" s="135"/>
    </row>
    <row r="55" spans="1:8" ht="179.4">
      <c r="A55" s="164" t="s">
        <v>54</v>
      </c>
      <c r="B55" s="111"/>
      <c r="C55" s="135"/>
    </row>
    <row r="56" spans="1:8" ht="179.4">
      <c r="A56" s="165" t="s">
        <v>55</v>
      </c>
      <c r="B56" s="112"/>
      <c r="C56" s="135"/>
    </row>
    <row r="57" spans="1:8" ht="179.4">
      <c r="A57" s="165" t="s">
        <v>56</v>
      </c>
      <c r="B57" s="112"/>
      <c r="C57" s="135"/>
    </row>
    <row r="58" spans="1:8" ht="179.4">
      <c r="A58" s="165" t="s">
        <v>57</v>
      </c>
      <c r="B58" s="112"/>
      <c r="C58" s="135"/>
    </row>
    <row r="59" spans="1:8" ht="179.4">
      <c r="A59" s="165" t="s">
        <v>58</v>
      </c>
      <c r="B59" s="112"/>
      <c r="C59" s="135"/>
    </row>
    <row r="60" spans="1:8" ht="179.4">
      <c r="A60" s="165" t="s">
        <v>59</v>
      </c>
      <c r="B60" s="112"/>
      <c r="C60" s="135"/>
    </row>
    <row r="61" spans="1:8" ht="179.4">
      <c r="A61" s="166" t="s">
        <v>60</v>
      </c>
    </row>
    <row r="62" spans="1:8" ht="179.4">
      <c r="A62" s="166" t="s">
        <v>61</v>
      </c>
    </row>
    <row r="63" spans="1:8" ht="179.4">
      <c r="A63" s="166" t="s">
        <v>62</v>
      </c>
    </row>
    <row r="64" spans="1:8" ht="179.4">
      <c r="A64" s="166" t="s">
        <v>63</v>
      </c>
    </row>
    <row r="65" spans="1:1" ht="179.4">
      <c r="A65" s="166" t="s">
        <v>64</v>
      </c>
    </row>
    <row r="66" spans="1:1" ht="179.4">
      <c r="A66" s="167" t="s">
        <v>65</v>
      </c>
    </row>
    <row r="67" spans="1:1" ht="179.4">
      <c r="A67" s="167" t="s">
        <v>66</v>
      </c>
    </row>
    <row r="68" spans="1:1" ht="179.4">
      <c r="A68" s="167" t="s">
        <v>67</v>
      </c>
    </row>
    <row r="69" spans="1:1" ht="179.4">
      <c r="A69" s="167" t="s">
        <v>68</v>
      </c>
    </row>
    <row r="70" spans="1:1" ht="179.4">
      <c r="A70" s="167" t="s">
        <v>69</v>
      </c>
    </row>
  </sheetData>
  <pageMargins left="0.7" right="0.7" top="0.75" bottom="0.75" header="0.3" footer="0.3"/>
  <pageSetup paperSize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double sided</vt:lpstr>
      <vt:lpstr>tracker</vt:lpstr>
      <vt:lpstr>bookmarks</vt:lpstr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Liam GOMEZ-KERVIN</cp:lastModifiedBy>
  <cp:lastPrinted>2023-07-18T04:22:45Z</cp:lastPrinted>
  <dcterms:created xsi:type="dcterms:W3CDTF">2022-05-06T07:07:54Z</dcterms:created>
  <dcterms:modified xsi:type="dcterms:W3CDTF">2023-07-18T04:42:58Z</dcterms:modified>
</cp:coreProperties>
</file>